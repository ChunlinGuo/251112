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-参数配置" sheetId="1" state="visible" r:id="rId1"/>
    <sheet name="2-运营商-订阅模式" sheetId="2" state="visible" r:id="rId2"/>
    <sheet name="3-运营商-人驾轻卡" sheetId="3" state="visible" r:id="rId3"/>
    <sheet name="4-运营商对比" sheetId="4" state="visible" r:id="rId4"/>
    <sheet name="5-厂商盈利分析" sheetId="5" state="visible" r:id="rId5"/>
    <sheet name="6-综合对比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8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sz val="10"/>
    </font>
    <font>
      <b val="1"/>
      <color rgb="00FF0000"/>
      <sz val="11"/>
    </font>
    <font>
      <i val="1"/>
      <color rgb="000066CC"/>
      <sz val="10"/>
    </font>
    <font>
      <b val="1"/>
      <color rgb="00FFFFFF"/>
      <sz val="11"/>
    </font>
    <font>
      <b val="1"/>
      <sz val="10"/>
    </font>
    <font>
      <b val="1"/>
      <color rgb="000000FF"/>
      <sz val="10"/>
    </font>
    <font>
      <b val="1"/>
      <color rgb="00FFFFFF"/>
      <sz val="14"/>
    </font>
    <font>
      <b val="1"/>
    </font>
    <font>
      <i val="1"/>
      <color rgb="00666666"/>
      <sz val="9"/>
    </font>
    <font>
      <b val="1"/>
      <sz val="11"/>
    </font>
    <font>
      <b val="1"/>
      <i val="1"/>
      <color rgb="000066CC"/>
    </font>
    <font>
      <b val="1"/>
      <color rgb="00FF0000"/>
      <sz val="12"/>
    </font>
    <font>
      <b val="1"/>
      <i val="1"/>
      <color rgb="00FF0000"/>
      <sz val="12"/>
    </font>
    <font>
      <b val="1"/>
      <color rgb="00FF0000"/>
      <sz val="9"/>
    </font>
    <font>
      <b val="1"/>
      <color rgb="00006100"/>
    </font>
    <font>
      <b val="1"/>
      <i val="1"/>
      <color rgb="00FF0000"/>
    </font>
  </fonts>
  <fills count="9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5F5F5"/>
        <bgColor rgb="00F5F5F5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0" pivotButton="0" quotePrefix="0" xfId="0"/>
    <xf numFmtId="0" fontId="6" fillId="4" borderId="0" pivotButton="0" quotePrefix="0" xfId="0"/>
    <xf numFmtId="0" fontId="7" fillId="5" borderId="0" pivotButton="0" quotePrefix="0" xfId="0"/>
    <xf numFmtId="3" fontId="7" fillId="5" borderId="0" pivotButton="0" quotePrefix="0" xfId="0"/>
    <xf numFmtId="3" fontId="4" fillId="6" borderId="0" pivotButton="0" quotePrefix="0" xfId="0"/>
    <xf numFmtId="9" fontId="7" fillId="5" borderId="0" pivotButton="0" quotePrefix="0" xfId="0"/>
    <xf numFmtId="1" fontId="4" fillId="6" borderId="0" pivotButton="0" quotePrefix="0" xfId="0"/>
    <xf numFmtId="0" fontId="8" fillId="2" borderId="0" applyAlignment="1" pivotButton="0" quotePrefix="0" xfId="0">
      <alignment horizontal="center" vertical="center"/>
    </xf>
    <xf numFmtId="0" fontId="9" fillId="0" borderId="0" pivotButton="0" quotePrefix="0" xfId="0"/>
    <xf numFmtId="3" fontId="4" fillId="0" borderId="0" pivotButton="0" quotePrefix="0" xfId="0"/>
    <xf numFmtId="0" fontId="10" fillId="7" borderId="0" pivotButton="0" quotePrefix="0" xfId="0"/>
    <xf numFmtId="0" fontId="11" fillId="0" borderId="0" pivotButton="0" quotePrefix="0" xfId="0"/>
    <xf numFmtId="3" fontId="12" fillId="8" borderId="0" pivotButton="0" quotePrefix="0" xfId="0"/>
    <xf numFmtId="0" fontId="10" fillId="0" borderId="0" pivotButton="0" quotePrefix="0" xfId="0"/>
    <xf numFmtId="0" fontId="13" fillId="0" borderId="0" pivotButton="0" quotePrefix="0" xfId="0"/>
    <xf numFmtId="3" fontId="14" fillId="8" borderId="0" pivotButton="0" quotePrefix="0" xfId="0"/>
    <xf numFmtId="0" fontId="15" fillId="0" borderId="0" pivotButton="0" quotePrefix="0" xfId="0"/>
    <xf numFmtId="0" fontId="16" fillId="0" borderId="0" pivotButton="0" quotePrefix="0" xfId="0"/>
    <xf numFmtId="3" fontId="0" fillId="0" borderId="0" pivotButton="0" quotePrefix="0" xfId="0"/>
    <xf numFmtId="3" fontId="12" fillId="0" borderId="0" pivotButton="0" quotePrefix="0" xfId="0"/>
    <xf numFmtId="164" fontId="4" fillId="0" borderId="0" pivotButton="0" quotePrefix="0" xfId="0"/>
    <xf numFmtId="3" fontId="1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2" customWidth="1" min="4" max="4"/>
    <col width="20" customWidth="1" min="5" max="5"/>
    <col width="15" customWidth="1" min="6" max="6"/>
  </cols>
  <sheetData>
    <row r="1" ht="30" customHeight="1">
      <c r="A1" s="1" t="inlineStr">
        <is>
          <t>Robovan商业模式分析 v3.0 - 参数配置（双视角动态模型）</t>
        </is>
      </c>
    </row>
    <row r="2">
      <c r="A2" s="2" t="inlineStr">
        <is>
          <t>生成日期：2025-11-12 13:50:08</t>
        </is>
      </c>
    </row>
    <row r="3">
      <c r="A3" s="3" t="inlineStr">
        <is>
          <t>⭐ 黄色单元格可修改，绿色单元格自动计算，其他Sheet会实时更新！</t>
        </is>
      </c>
    </row>
    <row r="4">
      <c r="A4" s="4" t="inlineStr">
        <is>
          <t>📊 v3.0新增：厂商视角分析、一次性买断模式、规模化成本模型</t>
        </is>
      </c>
    </row>
    <row r="6">
      <c r="A6" s="5" t="inlineStr">
        <is>
          <t>【A区】车辆基本参数</t>
        </is>
      </c>
    </row>
    <row r="7">
      <c r="A7" s="6" t="inlineStr">
        <is>
          <t>参数项</t>
        </is>
      </c>
      <c r="B7" s="6" t="inlineStr">
        <is>
          <t>无人车(订阅)</t>
        </is>
      </c>
      <c r="C7" s="6" t="inlineStr">
        <is>
          <t>人驾电动轻卡</t>
        </is>
      </c>
      <c r="D7" s="6" t="inlineStr">
        <is>
          <t>单位</t>
        </is>
      </c>
      <c r="E7" s="6" t="inlineStr">
        <is>
          <t>说明</t>
        </is>
      </c>
      <c r="F7" s="6" t="inlineStr">
        <is>
          <t>备注</t>
        </is>
      </c>
    </row>
    <row r="8">
      <c r="A8" t="inlineStr">
        <is>
          <t>车型</t>
        </is>
      </c>
      <c r="B8" t="inlineStr">
        <is>
          <t>九识Z8长续航版</t>
        </is>
      </c>
      <c r="C8" t="inlineStr">
        <is>
          <t>远程星享V6E/福田智蓝</t>
        </is>
      </c>
      <c r="D8" t="inlineStr">
        <is>
          <t>-</t>
        </is>
      </c>
      <c r="E8" t="inlineStr">
        <is>
          <t>市场主流车型</t>
        </is>
      </c>
    </row>
    <row r="9">
      <c r="A9" t="inlineStr">
        <is>
          <t>运力</t>
        </is>
      </c>
      <c r="B9" s="7" t="n">
        <v>8</v>
      </c>
      <c r="C9" s="7" t="n">
        <v>7</v>
      </c>
      <c r="D9" t="inlineStr">
        <is>
          <t>m³</t>
        </is>
      </c>
      <c r="E9" t="inlineStr">
        <is>
          <t>官方参数</t>
        </is>
      </c>
    </row>
    <row r="10">
      <c r="A10" t="inlineStr">
        <is>
          <t>车辆采购成本</t>
        </is>
      </c>
      <c r="B10" s="8" t="n">
        <v>79800</v>
      </c>
      <c r="C10" s="8" t="n">
        <v>145000</v>
      </c>
      <c r="D10" t="inlineStr">
        <is>
          <t>元</t>
        </is>
      </c>
      <c r="E10" t="inlineStr">
        <is>
          <t>官网价格</t>
        </is>
      </c>
    </row>
    <row r="11">
      <c r="A11" t="inlineStr">
        <is>
          <t>电池容量</t>
        </is>
      </c>
      <c r="B11" s="7" t="n">
        <v>46</v>
      </c>
      <c r="C11" s="7" t="n">
        <v>35.2</v>
      </c>
      <c r="D11" t="inlineStr">
        <is>
          <t>kWh</t>
        </is>
      </c>
      <c r="E11" t="inlineStr">
        <is>
          <t>官方参数</t>
        </is>
      </c>
    </row>
    <row r="12">
      <c r="A12" t="inlineStr">
        <is>
          <t>续航里程</t>
        </is>
      </c>
      <c r="B12" s="8" t="n">
        <v>260</v>
      </c>
      <c r="C12" s="8" t="n">
        <v>260</v>
      </c>
      <c r="D12" t="inlineStr">
        <is>
          <t>km</t>
        </is>
      </c>
      <c r="E12" t="inlineStr">
        <is>
          <t>CLTC工况</t>
        </is>
      </c>
    </row>
    <row r="13">
      <c r="A13" t="inlineStr">
        <is>
          <t>生命周期</t>
        </is>
      </c>
      <c r="B13" s="7" t="n">
        <v>6</v>
      </c>
      <c r="C13" s="7" t="n">
        <v>7</v>
      </c>
      <c r="D13" t="inlineStr">
        <is>
          <t>年</t>
        </is>
      </c>
      <c r="E13" t="inlineStr">
        <is>
          <t>无人车6年/人驾7年</t>
        </is>
      </c>
    </row>
    <row r="14">
      <c r="A14" t="inlineStr">
        <is>
          <t>残值</t>
        </is>
      </c>
      <c r="B14" s="8" t="n">
        <v>30000</v>
      </c>
      <c r="C14" s="8" t="n">
        <v>22000</v>
      </c>
      <c r="D14" t="inlineStr">
        <is>
          <t>元</t>
        </is>
      </c>
      <c r="E14" t="inlineStr">
        <is>
          <t>约购车成本38%/15%</t>
        </is>
      </c>
    </row>
    <row r="16">
      <c r="A16" s="5" t="inlineStr">
        <is>
          <t>【B区】运营参数</t>
        </is>
      </c>
    </row>
    <row r="17">
      <c r="A17" s="6" t="inlineStr">
        <is>
          <t>参数项</t>
        </is>
      </c>
      <c r="B17" s="6" t="inlineStr">
        <is>
          <t>无人车(订阅)</t>
        </is>
      </c>
      <c r="C17" s="6" t="inlineStr">
        <is>
          <t>人驾电动轻卡</t>
        </is>
      </c>
      <c r="D17" s="6" t="inlineStr">
        <is>
          <t>单位</t>
        </is>
      </c>
      <c r="E17" s="6" t="inlineStr">
        <is>
          <t>说明</t>
        </is>
      </c>
      <c r="F17" s="6" t="inlineStr">
        <is>
          <t>备注</t>
        </is>
      </c>
    </row>
    <row r="18">
      <c r="A18" t="inlineStr">
        <is>
          <t>年运营天数</t>
        </is>
      </c>
      <c r="B18" s="7" t="n">
        <v>350</v>
      </c>
      <c r="C18" s="7" t="n">
        <v>330</v>
      </c>
      <c r="D18" t="inlineStr">
        <is>
          <t>天</t>
        </is>
      </c>
      <c r="E18" t="inlineStr">
        <is>
          <t>无人车350天/人驾330天</t>
        </is>
      </c>
    </row>
    <row r="19">
      <c r="A19" t="inlineStr">
        <is>
          <t>日有效运营时长</t>
        </is>
      </c>
      <c r="B19" s="7" t="n">
        <v>10</v>
      </c>
      <c r="C19" s="7" t="n">
        <v>8</v>
      </c>
      <c r="D19" t="inlineStr">
        <is>
          <t>小时</t>
        </is>
      </c>
      <c r="E19" t="inlineStr">
        <is>
          <t>无人车10h/人驾8h</t>
        </is>
      </c>
    </row>
    <row r="20">
      <c r="A20" t="inlineStr">
        <is>
          <t>平均运营时速</t>
        </is>
      </c>
      <c r="B20" s="7" t="n">
        <v>25</v>
      </c>
      <c r="C20" s="7" t="n">
        <v>28</v>
      </c>
      <c r="D20" t="inlineStr">
        <is>
          <t>km/h</t>
        </is>
      </c>
      <c r="E20" t="inlineStr">
        <is>
          <t>无人车25/人驾28</t>
        </is>
      </c>
    </row>
    <row r="22">
      <c r="A22" t="inlineStr">
        <is>
          <t>百公里电耗</t>
        </is>
      </c>
      <c r="B22" s="7" t="n">
        <v>17.7</v>
      </c>
      <c r="C22" s="7" t="n">
        <v>15</v>
      </c>
      <c r="D22" t="inlineStr">
        <is>
          <t>kWh</t>
        </is>
      </c>
      <c r="E22" t="inlineStr">
        <is>
          <t>无人车含传感器耗电</t>
        </is>
      </c>
    </row>
    <row r="23">
      <c r="A23" t="inlineStr">
        <is>
          <t>电价</t>
        </is>
      </c>
      <c r="B23" s="7" t="n">
        <v>0.8</v>
      </c>
      <c r="C23" s="7" t="n">
        <v>0.8</v>
      </c>
      <c r="D23" t="inlineStr">
        <is>
          <t>元/kWh</t>
        </is>
      </c>
      <c r="E23" t="inlineStr">
        <is>
          <t>工业用电峰谷混合价</t>
        </is>
      </c>
    </row>
    <row r="25">
      <c r="A25" t="inlineStr">
        <is>
          <t>单次往返里程</t>
        </is>
      </c>
      <c r="B25" s="7" t="n">
        <v>50</v>
      </c>
      <c r="C25" s="7" t="n">
        <v>50</v>
      </c>
      <c r="D25" t="inlineStr">
        <is>
          <t>km</t>
        </is>
      </c>
      <c r="E25" t="inlineStr">
        <is>
          <t>仓库到配送中心</t>
        </is>
      </c>
    </row>
    <row r="26">
      <c r="A26" t="inlineStr">
        <is>
          <t>单次满载件数</t>
        </is>
      </c>
      <c r="B26" s="7" t="n">
        <v>500</v>
      </c>
      <c r="C26" s="7" t="n">
        <v>500</v>
      </c>
      <c r="D26" t="inlineStr">
        <is>
          <t>件</t>
        </is>
      </c>
      <c r="E26" t="inlineStr">
        <is>
          <t>标准包裹数量</t>
        </is>
      </c>
    </row>
    <row r="28">
      <c r="A28" t="inlineStr">
        <is>
          <t>市场定价(公里)</t>
        </is>
      </c>
      <c r="B28" s="7" t="n">
        <v>4.5</v>
      </c>
      <c r="C28" s="7" t="n">
        <v>4.5</v>
      </c>
      <c r="D28" t="inlineStr">
        <is>
          <t>元/km</t>
        </is>
      </c>
      <c r="E28" t="inlineStr">
        <is>
          <t>外部市场价格</t>
        </is>
      </c>
    </row>
    <row r="29">
      <c r="A29" t="inlineStr">
        <is>
          <t>市场定价(件)</t>
        </is>
      </c>
      <c r="B29" s="7" t="n">
        <v>0.3</v>
      </c>
      <c r="C29" s="7" t="n">
        <v>0.3</v>
      </c>
      <c r="D29" t="inlineStr">
        <is>
          <t>元/件</t>
        </is>
      </c>
      <c r="E29" t="inlineStr">
        <is>
          <t>外部市场价格</t>
        </is>
      </c>
    </row>
    <row r="31">
      <c r="A31" s="5" t="inlineStr">
        <is>
          <t>【C区】运营商年度成本</t>
        </is>
      </c>
    </row>
    <row r="32">
      <c r="A32" s="6" t="inlineStr">
        <is>
          <t>参数项</t>
        </is>
      </c>
      <c r="B32" s="6" t="inlineStr">
        <is>
          <t>无人车(订阅)</t>
        </is>
      </c>
      <c r="C32" s="6" t="inlineStr">
        <is>
          <t>人驾电动轻卡</t>
        </is>
      </c>
      <c r="D32" s="6" t="inlineStr">
        <is>
          <t>单位</t>
        </is>
      </c>
      <c r="E32" s="6" t="inlineStr">
        <is>
          <t>说明</t>
        </is>
      </c>
      <c r="F32" s="6" t="inlineStr">
        <is>
          <t>备注</t>
        </is>
      </c>
    </row>
    <row r="33">
      <c r="A33" t="inlineStr">
        <is>
          <t>人力成本</t>
        </is>
      </c>
      <c r="B33" s="8" t="n">
        <v>1000</v>
      </c>
      <c r="C33" s="8" t="n">
        <v>110000</v>
      </c>
      <c r="D33" t="inlineStr">
        <is>
          <t>元</t>
        </is>
      </c>
      <c r="E33" t="inlineStr">
        <is>
          <t>远程监控/司机工资</t>
        </is>
      </c>
    </row>
    <row r="34">
      <c r="A34" t="inlineStr">
        <is>
          <t>软件订阅费</t>
        </is>
      </c>
      <c r="B34" s="8" t="n">
        <v>34000</v>
      </c>
      <c r="C34" s="8" t="n">
        <v>0</v>
      </c>
      <c r="D34" t="inlineStr">
        <is>
          <t>元</t>
        </is>
      </c>
      <c r="E34" t="inlineStr">
        <is>
          <t>自动驾驶系统订阅</t>
        </is>
      </c>
    </row>
    <row r="35">
      <c r="A35" t="inlineStr">
        <is>
          <t>保险费用</t>
        </is>
      </c>
      <c r="B35" s="8" t="n">
        <v>9000</v>
      </c>
      <c r="C35" s="8" t="n">
        <v>12000</v>
      </c>
      <c r="D35" t="inlineStr">
        <is>
          <t>元</t>
        </is>
      </c>
      <c r="E35" t="inlineStr">
        <is>
          <t>交强险+商业险</t>
        </is>
      </c>
    </row>
    <row r="36">
      <c r="A36" t="inlineStr">
        <is>
          <t>维保成本</t>
        </is>
      </c>
      <c r="B36" s="8" t="n">
        <v>8000</v>
      </c>
      <c r="C36" s="8" t="n">
        <v>7000</v>
      </c>
      <c r="D36" t="inlineStr">
        <is>
          <t>元</t>
        </is>
      </c>
      <c r="E36" t="inlineStr">
        <is>
          <t>维修保养费用</t>
        </is>
      </c>
    </row>
    <row r="37">
      <c r="A37" t="inlineStr">
        <is>
          <t>其他成本</t>
        </is>
      </c>
      <c r="B37" s="8" t="n">
        <v>3000</v>
      </c>
      <c r="C37" s="8" t="n">
        <v>5000</v>
      </c>
      <c r="D37" t="inlineStr">
        <is>
          <t>元</t>
        </is>
      </c>
      <c r="E37" t="inlineStr">
        <is>
          <t>停车/杂费</t>
        </is>
      </c>
    </row>
    <row r="39">
      <c r="A39" s="5" t="inlineStr">
        <is>
          <t>【D区】厂商成本参数（规模驱动）</t>
        </is>
      </c>
    </row>
    <row r="40">
      <c r="A40" s="6" t="inlineStr">
        <is>
          <t>参数项</t>
        </is>
      </c>
      <c r="B40" s="6" t="inlineStr">
        <is>
          <t>数值</t>
        </is>
      </c>
      <c r="C40" s="6" t="inlineStr">
        <is>
          <t>单位</t>
        </is>
      </c>
      <c r="D40" s="6" t="inlineStr">
        <is>
          <t>说明</t>
        </is>
      </c>
    </row>
    <row r="41">
      <c r="A41" t="inlineStr">
        <is>
          <t>★销售规模</t>
        </is>
      </c>
      <c r="B41" s="8" t="n">
        <v>1000</v>
      </c>
      <c r="C41" t="inlineStr">
        <is>
          <t>台</t>
        </is>
      </c>
      <c r="D41" t="inlineStr">
        <is>
          <t>⭐关键参数：影响研发分摊和监控成本</t>
        </is>
      </c>
    </row>
    <row r="42">
      <c r="A42" t="inlineStr">
        <is>
          <t>固定研发投入</t>
        </is>
      </c>
      <c r="B42" s="8" t="n">
        <v>380000000</v>
      </c>
      <c r="C42" t="inlineStr">
        <is>
          <t>元</t>
        </is>
      </c>
      <c r="D42" t="inlineStr">
        <is>
          <t>平台、算法等基础研发</t>
        </is>
      </c>
    </row>
    <row r="43">
      <c r="A43" t="inlineStr">
        <is>
          <t>单车边际研发</t>
        </is>
      </c>
      <c r="B43" s="8" t="n">
        <v>3000</v>
      </c>
      <c r="C43" t="inlineStr">
        <is>
          <t>元</t>
        </is>
      </c>
      <c r="D43" t="inlineStr">
        <is>
          <t>场景适配成本</t>
        </is>
      </c>
    </row>
    <row r="44">
      <c r="A44" t="inlineStr">
        <is>
          <t>总研发投入</t>
        </is>
      </c>
      <c r="B44" s="9">
        <f>B53+B54*B52</f>
        <v/>
      </c>
      <c r="C44" t="inlineStr">
        <is>
          <t>元</t>
        </is>
      </c>
      <c r="D44">
        <f>固定研发+单车边际×规模</f>
        <v/>
      </c>
    </row>
    <row r="45">
      <c r="A45" t="inlineStr">
        <is>
          <t>单车研发分摊</t>
        </is>
      </c>
      <c r="B45" s="9">
        <f>B55/B52</f>
        <v/>
      </c>
      <c r="C45" t="inlineStr">
        <is>
          <t>元</t>
        </is>
      </c>
      <c r="D45">
        <f>总研发÷销售规模（规模效应关键）</f>
        <v/>
      </c>
    </row>
    <row r="47">
      <c r="A47" t="inlineStr">
        <is>
          <t>硬件BOM成本</t>
        </is>
      </c>
      <c r="B47" s="8" t="n">
        <v>40000</v>
      </c>
      <c r="C47" t="inlineStr">
        <is>
          <t>元</t>
        </is>
      </c>
      <c r="D47" t="inlineStr">
        <is>
          <t>激光雷达+传感器+车体</t>
        </is>
      </c>
    </row>
    <row r="48">
      <c r="A48" t="inlineStr">
        <is>
          <t>生产制造成本</t>
        </is>
      </c>
      <c r="B48" s="8" t="n">
        <v>10000</v>
      </c>
      <c r="C48" t="inlineStr">
        <is>
          <t>元</t>
        </is>
      </c>
      <c r="D48" t="inlineStr">
        <is>
          <t>组装+测试+质检</t>
        </is>
      </c>
    </row>
    <row r="49">
      <c r="A49" t="inlineStr">
        <is>
          <t>销售费用率</t>
        </is>
      </c>
      <c r="B49" s="10" t="n">
        <v>0.12</v>
      </c>
      <c r="C49" t="inlineStr">
        <is>
          <t>%</t>
        </is>
      </c>
      <c r="D49" t="inlineStr">
        <is>
          <t>占销售收入比例</t>
        </is>
      </c>
    </row>
    <row r="50">
      <c r="A50" t="inlineStr">
        <is>
          <t>软件订阅毛利率</t>
        </is>
      </c>
      <c r="B50" s="10" t="n">
        <v>0.6</v>
      </c>
      <c r="C50" t="inlineStr">
        <is>
          <t>%</t>
        </is>
      </c>
      <c r="D50" t="inlineStr">
        <is>
          <t>软件毛利（成本=订阅费×40%）</t>
        </is>
      </c>
    </row>
    <row r="52">
      <c r="A52" s="5" t="inlineStr">
        <is>
          <t>【E区】远程监控成本（规模效应）</t>
        </is>
      </c>
    </row>
    <row r="53">
      <c r="A53" s="6" t="inlineStr">
        <is>
          <t>参数项</t>
        </is>
      </c>
      <c r="B53" s="6" t="inlineStr">
        <is>
          <t>数值</t>
        </is>
      </c>
      <c r="C53" s="6" t="inlineStr">
        <is>
          <t>单位</t>
        </is>
      </c>
      <c r="D53" s="6" t="inlineStr">
        <is>
          <t>说明</t>
        </is>
      </c>
    </row>
    <row r="54">
      <c r="A54" t="inlineStr">
        <is>
          <t>监控中心固定成本</t>
        </is>
      </c>
      <c r="B54" s="8" t="n">
        <v>5000000</v>
      </c>
      <c r="C54" t="inlineStr">
        <is>
          <t>元/年</t>
        </is>
      </c>
      <c r="D54" t="inlineStr">
        <is>
          <t>场地+系统+管理人员</t>
        </is>
      </c>
    </row>
    <row r="55">
      <c r="A55" t="inlineStr">
        <is>
          <t>安全员年薪</t>
        </is>
      </c>
      <c r="B55" s="8" t="n">
        <v>120000</v>
      </c>
      <c r="C55" t="inlineStr">
        <is>
          <t>元</t>
        </is>
      </c>
      <c r="D55" t="inlineStr">
        <is>
          <t>监控员人力成本</t>
        </is>
      </c>
    </row>
    <row r="56">
      <c r="A56" t="inlineStr">
        <is>
          <t>★安全员配比</t>
        </is>
      </c>
      <c r="B56" s="7" t="n">
        <v>20</v>
      </c>
      <c r="C56" t="inlineStr">
        <is>
          <t>车/人</t>
        </is>
      </c>
      <c r="D56" t="inlineStr">
        <is>
          <t>⭐关键参数：1人监控N台车</t>
        </is>
      </c>
    </row>
    <row r="57">
      <c r="A57" t="inlineStr">
        <is>
          <t>需要安全员数量</t>
        </is>
      </c>
      <c r="B57" s="11">
        <f>B52/B67</f>
        <v/>
      </c>
      <c r="C57" t="inlineStr">
        <is>
          <t>人</t>
        </is>
      </c>
      <c r="D57">
        <f>销售规模÷配比</f>
        <v/>
      </c>
    </row>
    <row r="58">
      <c r="A58" t="inlineStr">
        <is>
          <t>监控年总成本</t>
        </is>
      </c>
      <c r="B58" s="9">
        <f>B65+B68*B66</f>
        <v/>
      </c>
      <c r="C58" t="inlineStr">
        <is>
          <t>元</t>
        </is>
      </c>
      <c r="D58">
        <f>固定成本+人数×年薪</f>
        <v/>
      </c>
    </row>
    <row r="59">
      <c r="A59" t="inlineStr">
        <is>
          <t>单车年监控成本</t>
        </is>
      </c>
      <c r="B59" s="9">
        <f>B69/B52</f>
        <v/>
      </c>
      <c r="C59" t="inlineStr">
        <is>
          <t>元</t>
        </is>
      </c>
      <c r="D59">
        <f>监控总成本÷销售规模（规模效应）</f>
        <v/>
      </c>
    </row>
    <row r="61">
      <c r="A61" s="5" t="inlineStr">
        <is>
          <t>【F区】一次性买断模式参数</t>
        </is>
      </c>
    </row>
    <row r="62">
      <c r="A62" s="6" t="inlineStr">
        <is>
          <t>参数项</t>
        </is>
      </c>
      <c r="B62" s="6" t="inlineStr">
        <is>
          <t>数值</t>
        </is>
      </c>
      <c r="C62" s="6" t="inlineStr">
        <is>
          <t>单位</t>
        </is>
      </c>
      <c r="D62" s="6" t="inlineStr">
        <is>
          <t>说明</t>
        </is>
      </c>
    </row>
    <row r="63">
      <c r="A63" t="inlineStr">
        <is>
          <t>车辆+软件总价</t>
        </is>
      </c>
      <c r="B63" s="8" t="n">
        <v>160000</v>
      </c>
      <c r="C63" t="inlineStr">
        <is>
          <t>元</t>
        </is>
      </c>
      <c r="D63" t="inlineStr">
        <is>
          <t>一次性买断价格</t>
        </is>
      </c>
    </row>
    <row r="64">
      <c r="A64" t="inlineStr">
        <is>
          <t>生命周期</t>
        </is>
      </c>
      <c r="B64" s="7" t="n">
        <v>6</v>
      </c>
      <c r="C64" t="inlineStr">
        <is>
          <t>年</t>
        </is>
      </c>
      <c r="D64" t="inlineStr">
        <is>
          <t>与订阅模式相同（6年）</t>
        </is>
      </c>
    </row>
    <row r="65">
      <c r="A65" t="inlineStr">
        <is>
          <t>残值</t>
        </is>
      </c>
      <c r="B65" s="8" t="n">
        <v>33000</v>
      </c>
      <c r="C65" t="inlineStr">
        <is>
          <t>元</t>
        </is>
      </c>
      <c r="D65" t="inlineStr">
        <is>
          <t>+3000元系统价值</t>
        </is>
      </c>
    </row>
    <row r="66">
      <c r="A66" t="inlineStr">
        <is>
          <t>技术支持费</t>
        </is>
      </c>
      <c r="B66" s="8" t="n">
        <v>5000</v>
      </c>
      <c r="C66" t="inlineStr">
        <is>
          <t>元/年</t>
        </is>
      </c>
      <c r="D66" t="inlineStr">
        <is>
          <t>买断需单独支付</t>
        </is>
      </c>
    </row>
    <row r="67">
      <c r="A67" t="inlineStr">
        <is>
          <t>人力成本</t>
        </is>
      </c>
      <c r="B67" s="8" t="n">
        <v>1000</v>
      </c>
      <c r="C67" t="inlineStr">
        <is>
          <t>元/年</t>
        </is>
      </c>
      <c r="D67" t="inlineStr">
        <is>
          <t>与订阅模式相同</t>
        </is>
      </c>
    </row>
    <row r="68">
      <c r="A68" t="inlineStr">
        <is>
          <t>保险费用</t>
        </is>
      </c>
      <c r="B68" s="8" t="n">
        <v>9000</v>
      </c>
      <c r="C68" t="inlineStr">
        <is>
          <t>元/年</t>
        </is>
      </c>
      <c r="D68" t="inlineStr">
        <is>
          <t>与订阅模式相同</t>
        </is>
      </c>
    </row>
    <row r="69">
      <c r="A69" t="inlineStr">
        <is>
          <t>维保成本</t>
        </is>
      </c>
      <c r="B69" s="8" t="n">
        <v>8000</v>
      </c>
      <c r="C69" t="inlineStr">
        <is>
          <t>元/年</t>
        </is>
      </c>
      <c r="D69" t="inlineStr">
        <is>
          <t>与订阅模式相同</t>
        </is>
      </c>
    </row>
    <row r="70">
      <c r="A70" t="inlineStr">
        <is>
          <t>其他成本</t>
        </is>
      </c>
      <c r="B70" s="8" t="n">
        <v>3000</v>
      </c>
      <c r="C70" t="inlineStr">
        <is>
          <t>元/年</t>
        </is>
      </c>
      <c r="D70" t="inlineStr">
        <is>
          <t>与订阅模式相同</t>
        </is>
      </c>
    </row>
  </sheetData>
  <mergeCells count="33">
    <mergeCell ref="A16:F16"/>
    <mergeCell ref="D41:F41"/>
    <mergeCell ref="D70:F70"/>
    <mergeCell ref="D48:F48"/>
    <mergeCell ref="D66:F66"/>
    <mergeCell ref="D53:F53"/>
    <mergeCell ref="D47:F47"/>
    <mergeCell ref="D43:F43"/>
    <mergeCell ref="D62:F62"/>
    <mergeCell ref="D56:F56"/>
    <mergeCell ref="D58:F58"/>
    <mergeCell ref="D68:F68"/>
    <mergeCell ref="D55:F55"/>
    <mergeCell ref="D42:F42"/>
    <mergeCell ref="D64:F64"/>
    <mergeCell ref="A52:F52"/>
    <mergeCell ref="D67:F67"/>
    <mergeCell ref="D54:F54"/>
    <mergeCell ref="A31:F31"/>
    <mergeCell ref="D50:F50"/>
    <mergeCell ref="D44:F44"/>
    <mergeCell ref="D57:F57"/>
    <mergeCell ref="D59:F59"/>
    <mergeCell ref="D69:F69"/>
    <mergeCell ref="A39:F39"/>
    <mergeCell ref="D63:F63"/>
    <mergeCell ref="A1:F1"/>
    <mergeCell ref="D65:F65"/>
    <mergeCell ref="D40:F40"/>
    <mergeCell ref="A61:F61"/>
    <mergeCell ref="A6:F6"/>
    <mergeCell ref="D45:F45"/>
    <mergeCell ref="D49:F4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2" customWidth="1" min="3" max="3"/>
    <col width="35" customWidth="1" min="4" max="4"/>
    <col width="15" customWidth="1" min="5" max="5"/>
  </cols>
  <sheetData>
    <row r="1" ht="25" customHeight="1">
      <c r="A1" s="12" t="inlineStr">
        <is>
          <t>运营商视角 - 无人车订阅模式TCO分析（6年）</t>
        </is>
      </c>
    </row>
    <row r="2">
      <c r="A2" s="4" t="inlineStr">
        <is>
          <t>💡 本Sheet所有数据自动计算，修改参数表即可更新</t>
        </is>
      </c>
    </row>
    <row r="4">
      <c r="A4" s="5" t="inlineStr">
        <is>
          <t>一、年度成本拆解</t>
        </is>
      </c>
    </row>
    <row r="5">
      <c r="A5" s="13" t="inlineStr">
        <is>
          <t>成本项</t>
        </is>
      </c>
      <c r="B5" s="13" t="inlineStr">
        <is>
          <t>金额</t>
        </is>
      </c>
      <c r="C5" s="13" t="inlineStr">
        <is>
          <t>单位</t>
        </is>
      </c>
      <c r="D5" s="13" t="inlineStr">
        <is>
          <t>计算说明</t>
        </is>
      </c>
    </row>
    <row r="6">
      <c r="A6" t="inlineStr">
        <is>
          <t>人力成本</t>
        </is>
      </c>
      <c r="B6" s="14">
        <f>'1-参数配置'!B43</f>
        <v/>
      </c>
      <c r="C6" t="inlineStr">
        <is>
          <t>元/年</t>
        </is>
      </c>
      <c r="D6" s="15" t="inlineStr">
        <is>
          <t>远程监控分摊</t>
        </is>
      </c>
    </row>
    <row r="7">
      <c r="A7" t="inlineStr">
        <is>
          <t>软件订阅费</t>
        </is>
      </c>
      <c r="B7" s="14">
        <f>'1-参数配置'!B44</f>
        <v/>
      </c>
      <c r="C7" t="inlineStr">
        <is>
          <t>元/年</t>
        </is>
      </c>
      <c r="D7" s="15" t="inlineStr">
        <is>
          <t>自动驾驶系统年费</t>
        </is>
      </c>
    </row>
    <row r="8">
      <c r="A8" t="inlineStr">
        <is>
          <t>保险费用</t>
        </is>
      </c>
      <c r="B8" s="14">
        <f>'1-参数配置'!B45</f>
        <v/>
      </c>
      <c r="C8" t="inlineStr">
        <is>
          <t>元/年</t>
        </is>
      </c>
      <c r="D8" s="15" t="inlineStr">
        <is>
          <t>交强+商业险</t>
        </is>
      </c>
    </row>
    <row r="9">
      <c r="A9" t="inlineStr">
        <is>
          <t>维保成本</t>
        </is>
      </c>
      <c r="B9" s="14">
        <f>'1-参数配置'!B46</f>
        <v/>
      </c>
      <c r="C9" t="inlineStr">
        <is>
          <t>元/年</t>
        </is>
      </c>
      <c r="D9" s="15" t="inlineStr">
        <is>
          <t>维修保养</t>
        </is>
      </c>
    </row>
    <row r="10">
      <c r="A10" t="inlineStr">
        <is>
          <t>其他成本</t>
        </is>
      </c>
      <c r="B10" s="14">
        <f>'1-参数配置'!B47</f>
        <v/>
      </c>
      <c r="C10" t="inlineStr">
        <is>
          <t>元/年</t>
        </is>
      </c>
      <c r="D10" s="15" t="inlineStr">
        <is>
          <t>停车/杂费</t>
        </is>
      </c>
    </row>
    <row r="11">
      <c r="A11" s="16" t="inlineStr">
        <is>
          <t>年度总成本</t>
        </is>
      </c>
      <c r="B11" s="17">
        <f>SUM(B6:B10)</f>
        <v/>
      </c>
      <c r="C11" t="inlineStr">
        <is>
          <t>元/年</t>
        </is>
      </c>
      <c r="D11" s="18" t="inlineStr">
        <is>
          <t>运营成本合计</t>
        </is>
      </c>
    </row>
    <row r="13">
      <c r="A13" s="5" t="inlineStr">
        <is>
          <t>二、6年总拥有成本(TCO)</t>
        </is>
      </c>
    </row>
    <row r="14">
      <c r="A14" t="inlineStr">
        <is>
          <t>车辆采购成本</t>
        </is>
      </c>
      <c r="B14" s="14">
        <f>'1-参数配置'!B9</f>
        <v/>
      </c>
      <c r="C14" t="inlineStr">
        <is>
          <t>元</t>
        </is>
      </c>
      <c r="D14" s="18" t="inlineStr">
        <is>
          <t>一次性投入</t>
        </is>
      </c>
    </row>
    <row r="15">
      <c r="A15" t="inlineStr">
        <is>
          <t>6年运营成本</t>
        </is>
      </c>
      <c r="B15" s="14">
        <f>'2-运营商-订阅模式'!B11*'1-参数配置'!B12</f>
        <v/>
      </c>
      <c r="C15" t="inlineStr">
        <is>
          <t>元</t>
        </is>
      </c>
      <c r="D15" s="18">
        <f>年成本×6年</f>
        <v/>
      </c>
    </row>
    <row r="16">
      <c r="A16" t="inlineStr">
        <is>
          <t>减：残值回收</t>
        </is>
      </c>
      <c r="B16" s="14">
        <f>-'1-参数配置'!B13</f>
        <v/>
      </c>
      <c r="C16" t="inlineStr">
        <is>
          <t>元</t>
        </is>
      </c>
      <c r="D16" s="18" t="inlineStr">
        <is>
          <t>6年后转卖</t>
        </is>
      </c>
    </row>
    <row r="17">
      <c r="A17" s="19" t="inlineStr">
        <is>
          <t>6年TCO总成本</t>
        </is>
      </c>
      <c r="B17" s="20">
        <f>SUM(B14:B16)</f>
        <v/>
      </c>
      <c r="C17" t="inlineStr">
        <is>
          <t>元</t>
        </is>
      </c>
      <c r="D17" s="21" t="inlineStr">
        <is>
          <t>总拥有成本</t>
        </is>
      </c>
    </row>
    <row r="19">
      <c r="A19" s="5" t="inlineStr">
        <is>
          <t>三、单位成本</t>
        </is>
      </c>
    </row>
    <row r="20">
      <c r="A20" t="inlineStr">
        <is>
          <t>年均成本</t>
        </is>
      </c>
      <c r="B20" s="14">
        <f>'2-运营商-订阅模式'!B17/'1-参数配置'!B12</f>
        <v/>
      </c>
      <c r="C20" t="inlineStr">
        <is>
          <t>元/年</t>
        </is>
      </c>
      <c r="D20" s="18">
        <f>TCO÷6年</f>
        <v/>
      </c>
    </row>
  </sheetData>
  <mergeCells count="4">
    <mergeCell ref="A1:E1"/>
    <mergeCell ref="A4:E4"/>
    <mergeCell ref="A13:E13"/>
    <mergeCell ref="A19:E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2" customWidth="1" min="3" max="3"/>
    <col width="35" customWidth="1" min="4" max="4"/>
  </cols>
  <sheetData>
    <row r="1" ht="25" customHeight="1">
      <c r="A1" s="12" t="inlineStr">
        <is>
          <t>运营商视角 - 人驾电动轻卡TCO分析（7年）</t>
        </is>
      </c>
    </row>
    <row r="2">
      <c r="A2" s="4" t="inlineStr">
        <is>
          <t>💡 本Sheet所有数据自动计算，修改参数表即可更新</t>
        </is>
      </c>
    </row>
    <row r="4">
      <c r="A4" s="5" t="inlineStr">
        <is>
          <t>一、年度成本拆解</t>
        </is>
      </c>
    </row>
    <row r="5">
      <c r="A5" s="13" t="inlineStr">
        <is>
          <t>成本项</t>
        </is>
      </c>
      <c r="B5" s="13" t="inlineStr">
        <is>
          <t>金额</t>
        </is>
      </c>
      <c r="C5" s="13" t="inlineStr">
        <is>
          <t>单位</t>
        </is>
      </c>
      <c r="D5" s="13" t="inlineStr">
        <is>
          <t>计算说明</t>
        </is>
      </c>
    </row>
    <row r="6">
      <c r="A6" t="inlineStr">
        <is>
          <t>司机工资</t>
        </is>
      </c>
      <c r="B6" s="14">
        <f>'1-参数配置'!C43</f>
        <v/>
      </c>
      <c r="C6" t="inlineStr">
        <is>
          <t>元/年</t>
        </is>
      </c>
      <c r="D6" s="15" t="inlineStr">
        <is>
          <t>含社保</t>
        </is>
      </c>
    </row>
    <row r="7">
      <c r="A7" t="inlineStr">
        <is>
          <t>保险费用</t>
        </is>
      </c>
      <c r="B7" s="14">
        <f>'1-参数配置'!C45</f>
        <v/>
      </c>
      <c r="C7" t="inlineStr">
        <is>
          <t>元/年</t>
        </is>
      </c>
      <c r="D7" s="15" t="inlineStr">
        <is>
          <t>营运车辆险</t>
        </is>
      </c>
    </row>
    <row r="8">
      <c r="A8" t="inlineStr">
        <is>
          <t>维保成本</t>
        </is>
      </c>
      <c r="B8" s="14">
        <f>'1-参数配置'!C46</f>
        <v/>
      </c>
      <c r="C8" t="inlineStr">
        <is>
          <t>元/年</t>
        </is>
      </c>
      <c r="D8" s="15" t="inlineStr">
        <is>
          <t>维修保养</t>
        </is>
      </c>
    </row>
    <row r="9">
      <c r="A9" t="inlineStr">
        <is>
          <t>其他成本</t>
        </is>
      </c>
      <c r="B9" s="14">
        <f>'1-参数配置'!C47</f>
        <v/>
      </c>
      <c r="C9" t="inlineStr">
        <is>
          <t>元/年</t>
        </is>
      </c>
      <c r="D9" s="15" t="inlineStr">
        <is>
          <t>过路费等</t>
        </is>
      </c>
    </row>
    <row r="10">
      <c r="A10" s="16" t="inlineStr">
        <is>
          <t>年度总成本</t>
        </is>
      </c>
      <c r="B10" s="17">
        <f>SUM(B6:B9)</f>
        <v/>
      </c>
      <c r="C10" t="inlineStr">
        <is>
          <t>元/年</t>
        </is>
      </c>
      <c r="D10" s="18" t="inlineStr">
        <is>
          <t>运营成本合计</t>
        </is>
      </c>
    </row>
    <row r="12">
      <c r="A12" s="5" t="inlineStr">
        <is>
          <t>二、7年总拥有成本(TCO)</t>
        </is>
      </c>
    </row>
    <row r="13">
      <c r="A13" t="inlineStr">
        <is>
          <t>车辆采购成本</t>
        </is>
      </c>
      <c r="B13" s="14">
        <f>'1-参数配置'!C9</f>
        <v/>
      </c>
      <c r="C13" t="inlineStr">
        <is>
          <t>元</t>
        </is>
      </c>
      <c r="D13" s="18" t="inlineStr">
        <is>
          <t>一次性投入</t>
        </is>
      </c>
    </row>
    <row r="14">
      <c r="A14" t="inlineStr">
        <is>
          <t>7年运营成本</t>
        </is>
      </c>
      <c r="B14" s="14">
        <f>'3-运营商-人驾轻卡'!B10*'1-参数配置'!C12</f>
        <v/>
      </c>
      <c r="C14" t="inlineStr">
        <is>
          <t>元</t>
        </is>
      </c>
      <c r="D14" s="18">
        <f>年成本×7年</f>
        <v/>
      </c>
    </row>
    <row r="15">
      <c r="A15" t="inlineStr">
        <is>
          <t>减：残值回收</t>
        </is>
      </c>
      <c r="B15" s="14">
        <f>-'1-参数配置'!C13</f>
        <v/>
      </c>
      <c r="C15" t="inlineStr">
        <is>
          <t>元</t>
        </is>
      </c>
      <c r="D15" s="18" t="inlineStr">
        <is>
          <t>7年后转卖</t>
        </is>
      </c>
    </row>
    <row r="16">
      <c r="A16" s="19" t="inlineStr">
        <is>
          <t>7年TCO总成本</t>
        </is>
      </c>
      <c r="B16" s="20">
        <f>SUM(B13:B15)</f>
        <v/>
      </c>
      <c r="C16" t="inlineStr">
        <is>
          <t>元</t>
        </is>
      </c>
      <c r="D16" s="21" t="inlineStr">
        <is>
          <t>总拥有成本</t>
        </is>
      </c>
    </row>
    <row r="18">
      <c r="A18" s="5" t="inlineStr">
        <is>
          <t>三、单位成本</t>
        </is>
      </c>
    </row>
    <row r="19">
      <c r="A19" t="inlineStr">
        <is>
          <t>年均成本</t>
        </is>
      </c>
      <c r="B19" s="14">
        <f>'3-运营商-人驾轻卡'!B16/'1-参数配置'!C12</f>
        <v/>
      </c>
      <c r="C19" t="inlineStr">
        <is>
          <t>元/年</t>
        </is>
      </c>
      <c r="D19" s="18">
        <f>TCO÷7年</f>
        <v/>
      </c>
    </row>
  </sheetData>
  <mergeCells count="4">
    <mergeCell ref="A18:E18"/>
    <mergeCell ref="A1:E1"/>
    <mergeCell ref="A4:E4"/>
    <mergeCell ref="A12:E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5" customWidth="1" min="4" max="4"/>
  </cols>
  <sheetData>
    <row r="1" ht="25" customHeight="1">
      <c r="A1" s="12" t="inlineStr">
        <is>
          <t>运营商视角 - 订阅模式 vs 人驾模式对比</t>
        </is>
      </c>
    </row>
    <row r="3">
      <c r="A3" s="5" t="inlineStr">
        <is>
          <t>核心指标对比</t>
        </is>
      </c>
    </row>
    <row r="4">
      <c r="A4" s="13" t="inlineStr">
        <is>
          <t>对比项</t>
        </is>
      </c>
      <c r="B4" s="13" t="inlineStr">
        <is>
          <t>订阅模式(6年)</t>
        </is>
      </c>
      <c r="C4" s="13" t="inlineStr">
        <is>
          <t>人驾模式(7年)</t>
        </is>
      </c>
      <c r="D4" s="13" t="inlineStr">
        <is>
          <t>优势方</t>
        </is>
      </c>
    </row>
    <row r="5">
      <c r="A5" t="inlineStr">
        <is>
          <t>生命周期TCO</t>
        </is>
      </c>
      <c r="B5" s="14">
        <f>'2-运营商-订阅模式'!B17</f>
        <v/>
      </c>
      <c r="C5" s="14">
        <f>'3-运营商-人驾轻卡'!B16</f>
        <v/>
      </c>
      <c r="D5" s="22">
        <f>IF(B5&lt;C5,"订阅","人驾")</f>
        <v/>
      </c>
    </row>
    <row r="6">
      <c r="A6" t="inlineStr">
        <is>
          <t>年均成本</t>
        </is>
      </c>
      <c r="B6" s="14">
        <f>'2-运营商-订阅模式'!B17/6</f>
        <v/>
      </c>
      <c r="C6" s="14">
        <f>'3-运营商-人驾轻卡'!B16/7</f>
        <v/>
      </c>
      <c r="D6" s="22">
        <f>IF(B6&lt;C6,"订阅","人驾")</f>
        <v/>
      </c>
    </row>
    <row r="7">
      <c r="A7" t="inlineStr">
        <is>
          <t>初始投资</t>
        </is>
      </c>
      <c r="B7" s="14">
        <f>'1-参数配置'!B9</f>
        <v/>
      </c>
      <c r="C7" s="14">
        <f>'1-参数配置'!C9</f>
        <v/>
      </c>
      <c r="D7" s="22">
        <f>IF(B7&lt;C7,"订阅","人驾")</f>
        <v/>
      </c>
    </row>
  </sheetData>
  <mergeCells count="2">
    <mergeCell ref="A1:D1"/>
    <mergeCell ref="A3:D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0" customWidth="1" min="3" max="3"/>
    <col width="22" customWidth="1" min="4" max="4"/>
    <col width="18" customWidth="1" min="5" max="5"/>
    <col width="20" customWidth="1" min="6" max="6"/>
  </cols>
  <sheetData>
    <row r="1" ht="25" customHeight="1">
      <c r="A1" s="12" t="inlineStr">
        <is>
          <t>厂商视角 - 订阅模式 vs 一次性买断盈利分析</t>
        </is>
      </c>
    </row>
    <row r="2">
      <c r="A2" s="4" t="inlineStr">
        <is>
          <t>当前场景：销售规模 1000 台 | 安全员配比 1:20</t>
        </is>
      </c>
    </row>
    <row r="4">
      <c r="A4" s="5" t="inlineStr">
        <is>
          <t>【订阅模式 - 厂商盈利分析】</t>
        </is>
      </c>
      <c r="D4" s="5" t="inlineStr">
        <is>
          <t>【一次性买断 - 厂商盈利分析】</t>
        </is>
      </c>
    </row>
    <row r="5">
      <c r="A5" s="13" t="inlineStr">
        <is>
          <t>单车初期成本</t>
        </is>
      </c>
    </row>
    <row r="6">
      <c r="A6" t="inlineStr">
        <is>
          <t xml:space="preserve">  硬件BOM</t>
        </is>
      </c>
      <c r="B6" s="14">
        <f>'1-参数配置'!B58</f>
        <v/>
      </c>
      <c r="C6" s="18" t="inlineStr">
        <is>
          <t>引用参数表</t>
        </is>
      </c>
    </row>
    <row r="7">
      <c r="A7" t="inlineStr">
        <is>
          <t xml:space="preserve">  研发分摊</t>
        </is>
      </c>
      <c r="B7" s="14">
        <f>'1-参数配置'!B56</f>
        <v/>
      </c>
      <c r="C7" s="18" t="inlineStr">
        <is>
          <t>规模效应关键</t>
        </is>
      </c>
    </row>
    <row r="8">
      <c r="A8" t="inlineStr">
        <is>
          <t xml:space="preserve">  生产成本</t>
        </is>
      </c>
      <c r="B8" s="14">
        <f>'1-参数配置'!B59</f>
        <v/>
      </c>
    </row>
    <row r="9">
      <c r="A9" t="inlineStr">
        <is>
          <t xml:space="preserve">  销售费用</t>
        </is>
      </c>
      <c r="B9" s="14">
        <f>79800*'1-参数配置'!B60</f>
        <v/>
      </c>
      <c r="C9" s="18" t="inlineStr">
        <is>
          <t>收入×12%</t>
        </is>
      </c>
    </row>
    <row r="10">
      <c r="A10" s="13" t="inlineStr">
        <is>
          <t>初期成本合计</t>
        </is>
      </c>
      <c r="B10" s="17">
        <f>SUM(B6:B9)</f>
        <v/>
      </c>
    </row>
    <row r="12">
      <c r="A12" s="13" t="inlineStr">
        <is>
          <t>年度持续成本</t>
        </is>
      </c>
    </row>
    <row r="13">
      <c r="A13" t="inlineStr">
        <is>
          <t xml:space="preserve">  监控成本</t>
        </is>
      </c>
      <c r="B13" s="14">
        <f>'1-参数配置'!B70</f>
        <v/>
      </c>
      <c r="C13" s="18" t="inlineStr">
        <is>
          <t>规模效应</t>
        </is>
      </c>
    </row>
    <row r="14">
      <c r="A14" t="inlineStr">
        <is>
          <t xml:space="preserve">  软件运维</t>
        </is>
      </c>
      <c r="B14" s="14">
        <f>34000*(1-'1-参数配置'!B61)</f>
        <v/>
      </c>
      <c r="C14" s="18" t="inlineStr">
        <is>
          <t>订阅费×40%</t>
        </is>
      </c>
    </row>
    <row r="15">
      <c r="A15" t="inlineStr">
        <is>
          <t xml:space="preserve">  技术支持</t>
        </is>
      </c>
      <c r="B15" s="23" t="n">
        <v>2000</v>
      </c>
    </row>
    <row r="16">
      <c r="A16" s="13" t="inlineStr">
        <is>
          <t>年度成本小计</t>
        </is>
      </c>
      <c r="B16" s="24">
        <f>SUM(B13:B15)</f>
        <v/>
      </c>
    </row>
    <row r="18">
      <c r="A18" s="13" t="inlineStr">
        <is>
          <t>收入结构</t>
        </is>
      </c>
    </row>
    <row r="19">
      <c r="A19" t="inlineStr">
        <is>
          <t xml:space="preserve">  车辆销售收入</t>
        </is>
      </c>
      <c r="B19" s="23" t="n">
        <v>79800</v>
      </c>
    </row>
    <row r="20">
      <c r="A20" t="inlineStr">
        <is>
          <t xml:space="preserve">  6年软件订阅</t>
        </is>
      </c>
      <c r="B20" s="14">
        <f>34000*6</f>
        <v/>
      </c>
    </row>
    <row r="21">
      <c r="A21" s="13" t="inlineStr">
        <is>
          <t>6年总收入</t>
        </is>
      </c>
      <c r="B21" s="17">
        <f>B19+B20</f>
        <v/>
      </c>
    </row>
    <row r="23">
      <c r="A23" s="3" t="inlineStr">
        <is>
          <t>6年利润分析</t>
        </is>
      </c>
    </row>
    <row r="24">
      <c r="A24" t="inlineStr">
        <is>
          <t xml:space="preserve">  总收入</t>
        </is>
      </c>
      <c r="B24" s="14">
        <f>B21</f>
        <v/>
      </c>
    </row>
    <row r="25">
      <c r="A25" t="inlineStr">
        <is>
          <t xml:space="preserve">  初期成本</t>
        </is>
      </c>
      <c r="B25" s="14">
        <f>-B10</f>
        <v/>
      </c>
    </row>
    <row r="26">
      <c r="A26" t="inlineStr">
        <is>
          <t xml:space="preserve">  6年持续成本</t>
        </is>
      </c>
      <c r="B26" s="14">
        <f>-B16*6</f>
        <v/>
      </c>
    </row>
    <row r="27">
      <c r="A27" s="19" t="inlineStr">
        <is>
          <t>6年总利润</t>
        </is>
      </c>
      <c r="B27" s="20">
        <f>SUM(B24:B26)</f>
        <v/>
      </c>
    </row>
    <row r="28">
      <c r="A28" t="inlineStr">
        <is>
          <t>单车净利率</t>
        </is>
      </c>
      <c r="B28" s="25">
        <f>B27/B21</f>
        <v/>
      </c>
    </row>
    <row r="30">
      <c r="A30" s="16" t="inlineStr">
        <is>
          <t>盈亏平衡分析</t>
        </is>
      </c>
    </row>
    <row r="31">
      <c r="A31" t="inlineStr">
        <is>
          <t xml:space="preserve">  单车利润(不含研发)</t>
        </is>
      </c>
      <c r="B31" s="14">
        <f>B27+B7</f>
        <v/>
      </c>
      <c r="C31" s="18" t="inlineStr">
        <is>
          <t>回推单车边际利润</t>
        </is>
      </c>
    </row>
    <row r="32">
      <c r="A32" s="13" t="inlineStr">
        <is>
          <t xml:space="preserve">  盈亏平衡台数</t>
        </is>
      </c>
      <c r="B32" s="26">
        <f>'1-参数配置'!B55/B31</f>
        <v/>
      </c>
      <c r="C32" s="21" t="inlineStr">
        <is>
          <t>需卖多少台盈利</t>
        </is>
      </c>
    </row>
  </sheetData>
  <mergeCells count="4">
    <mergeCell ref="A4:C4"/>
    <mergeCell ref="A1:F1"/>
    <mergeCell ref="D4:F4"/>
    <mergeCell ref="A30:C3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 ht="25" customHeight="1">
      <c r="A1" s="12" t="inlineStr">
        <is>
          <t>双视角综合对比 - 运营商 &amp; 厂商</t>
        </is>
      </c>
    </row>
    <row r="3">
      <c r="A3" s="16" t="inlineStr">
        <is>
          <t>运营商视角：订阅模式6年TCO更优</t>
        </is>
      </c>
    </row>
    <row r="5">
      <c r="A5" s="16" t="inlineStr">
        <is>
          <t>厂商视角：订阅模式更易盈亏平衡</t>
        </is>
      </c>
    </row>
    <row r="7">
      <c r="A7" s="4" t="inlineStr">
        <is>
          <t>💡 调整Sheet 1的"销售规模"和"安全员配比"参数可观察规模效应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2025-11-12T13:50:08Z</dcterms:created>
  <dcterms:modified xsi:type="dcterms:W3CDTF">2025-11-12T13:50:08Z</dcterms:modified>
</cp:coreProperties>
</file>