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参数配置" sheetId="1" state="visible" r:id="rId1"/>
    <sheet name="2-无人车TCO" sheetId="2" state="visible" r:id="rId2"/>
    <sheet name="3-人驾轻卡TCO" sheetId="3" state="visible" r:id="rId3"/>
    <sheet name="4-成本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"/>
    <numFmt numFmtId="166" formatCode="0.0%"/>
    <numFmt numFmtId="167" formatCode="+#,##0;-#,##0;0"/>
    <numFmt numFmtId="168" formatCode="+0.0%;-0.0%;0%"/>
  </numFmts>
  <fonts count="2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0000"/>
      <sz val="11"/>
    </font>
    <font>
      <b val="1"/>
      <color rgb="00FFFFFF"/>
      <sz val="11"/>
    </font>
    <font>
      <b val="1"/>
      <sz val="10"/>
    </font>
    <font>
      <b val="1"/>
      <color rgb="000000FF"/>
      <sz val="10"/>
    </font>
    <font>
      <b val="1"/>
      <color rgb="00FFFFFF"/>
      <sz val="14"/>
    </font>
    <font>
      <i val="1"/>
      <color rgb="00008000"/>
      <sz val="10"/>
    </font>
    <font>
      <sz val="10"/>
    </font>
    <font>
      <i val="1"/>
      <color rgb="000066CC"/>
      <sz val="10"/>
    </font>
    <font>
      <b val="1"/>
    </font>
    <font>
      <b val="1"/>
      <i val="1"/>
      <color rgb="000066CC"/>
    </font>
    <font>
      <b val="1"/>
      <sz val="11"/>
    </font>
    <font>
      <b val="1"/>
      <i val="1"/>
      <color rgb="000066CC"/>
      <sz val="11"/>
    </font>
    <font>
      <b val="1"/>
      <color rgb="00FF0000"/>
      <sz val="12"/>
    </font>
    <font>
      <b val="1"/>
      <i val="1"/>
      <color rgb="00FF0000"/>
      <sz val="12"/>
    </font>
    <font>
      <i val="1"/>
      <color rgb="00FF0000"/>
      <sz val="10"/>
    </font>
    <font>
      <b val="1"/>
      <i val="1"/>
      <color rgb="00FF0000"/>
      <sz val="11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3" fillId="6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3" fontId="1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0" fontId="11" fillId="0" borderId="0" pivotButton="0" quotePrefix="0" xfId="0"/>
    <xf numFmtId="3" fontId="12" fillId="0" borderId="0" pivotButton="0" quotePrefix="0" xfId="0"/>
    <xf numFmtId="0" fontId="13" fillId="0" borderId="0" pivotButton="0" quotePrefix="0" xfId="0"/>
    <xf numFmtId="3" fontId="14" fillId="7" borderId="0" pivotButton="0" quotePrefix="0" xfId="0"/>
    <xf numFmtId="0" fontId="15" fillId="0" borderId="0" pivotButton="0" quotePrefix="0" xfId="0"/>
    <xf numFmtId="3" fontId="16" fillId="7" borderId="0" pivotButton="0" quotePrefix="0" xfId="0"/>
    <xf numFmtId="0" fontId="3" fillId="5" borderId="0" pivotButton="0" quotePrefix="0" xfId="0"/>
    <xf numFmtId="2" fontId="10" fillId="0" borderId="0" pivotButton="0" quotePrefix="0" xfId="0"/>
    <xf numFmtId="0" fontId="17" fillId="0" borderId="0" pivotButton="0" quotePrefix="0" xfId="0"/>
    <xf numFmtId="0" fontId="5" fillId="4" borderId="0" applyAlignment="1" pivotButton="0" quotePrefix="0" xfId="0">
      <alignment horizontal="center"/>
    </xf>
    <xf numFmtId="3" fontId="10" fillId="8" borderId="0" pivotButton="0" quotePrefix="0" xfId="0"/>
    <xf numFmtId="166" fontId="10" fillId="8" borderId="0" pivotButton="0" quotePrefix="0" xfId="0"/>
    <xf numFmtId="3" fontId="14" fillId="0" borderId="0" pivotButton="0" quotePrefix="0" xfId="0"/>
    <xf numFmtId="3" fontId="18" fillId="8" borderId="0" pivotButton="0" quotePrefix="0" xfId="0"/>
    <xf numFmtId="166" fontId="18" fillId="8" borderId="0" pivotButton="0" quotePrefix="0" xfId="0"/>
    <xf numFmtId="0" fontId="19" fillId="0" borderId="0" pivotButton="0" quotePrefix="0" xfId="0"/>
    <xf numFmtId="2" fontId="10" fillId="8" borderId="0" pivotButton="0" quotePrefix="0" xfId="0"/>
    <xf numFmtId="165" fontId="10" fillId="8" borderId="0" pivotButton="0" quotePrefix="0" xfId="0"/>
    <xf numFmtId="167" fontId="10" fillId="8" borderId="0" pivotButton="0" quotePrefix="0" xfId="0"/>
    <xf numFmtId="168" fontId="1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0" customWidth="1" min="4" max="4"/>
    <col width="40" customWidth="1" min="5" max="5"/>
  </cols>
  <sheetData>
    <row r="1" ht="30" customHeight="1">
      <c r="A1" s="1" t="inlineStr">
        <is>
          <t>Robovan商业模式分析 - 参数配置表（动态模型）</t>
        </is>
      </c>
    </row>
    <row r="2">
      <c r="A2" s="2" t="inlineStr">
        <is>
          <t>生成日期：2025-11-12 12:33:09</t>
        </is>
      </c>
    </row>
    <row r="3">
      <c r="A3" s="3" t="inlineStr">
        <is>
          <t>⭐ 黄色单元格可直接修改，其他Sheet会自动更新计算结果！</t>
        </is>
      </c>
    </row>
    <row r="5">
      <c r="A5" s="4" t="inlineStr">
        <is>
          <t>【A区】车辆基本参数</t>
        </is>
      </c>
    </row>
    <row r="6">
      <c r="A6" s="5" t="inlineStr">
        <is>
          <t>参数项</t>
        </is>
      </c>
      <c r="B6" s="5" t="inlineStr">
        <is>
          <t>无人车</t>
        </is>
      </c>
      <c r="C6" s="5" t="inlineStr">
        <is>
          <t>人驾电动轻卡</t>
        </is>
      </c>
      <c r="D6" s="5" t="inlineStr">
        <is>
          <t>单位</t>
        </is>
      </c>
      <c r="E6" s="5" t="inlineStr">
        <is>
          <t>说明</t>
        </is>
      </c>
    </row>
    <row r="7">
      <c r="A7" t="inlineStr">
        <is>
          <t>车型</t>
        </is>
      </c>
      <c r="B7" t="inlineStr">
        <is>
          <t>九识Z8长续航版</t>
        </is>
      </c>
      <c r="C7" t="inlineStr">
        <is>
          <t>远程星享V6E/福田智蓝</t>
        </is>
      </c>
      <c r="D7" t="inlineStr">
        <is>
          <t>-</t>
        </is>
      </c>
      <c r="E7" t="inlineStr">
        <is>
          <t>市场主流车型</t>
        </is>
      </c>
    </row>
    <row r="8">
      <c r="A8" t="inlineStr">
        <is>
          <t>运力</t>
        </is>
      </c>
      <c r="B8" s="6" t="n">
        <v>8</v>
      </c>
      <c r="C8" s="6" t="n">
        <v>7</v>
      </c>
      <c r="D8" t="inlineStr">
        <is>
          <t>m³</t>
        </is>
      </c>
      <c r="E8" t="inlineStr">
        <is>
          <t>官方参数</t>
        </is>
      </c>
    </row>
    <row r="9">
      <c r="A9" t="inlineStr">
        <is>
          <t>车辆采购成本</t>
        </is>
      </c>
      <c r="B9" s="6" t="n">
        <v>79800</v>
      </c>
      <c r="C9" s="6" t="n">
        <v>145000</v>
      </c>
      <c r="D9" t="inlineStr">
        <is>
          <t>元</t>
        </is>
      </c>
      <c r="E9" t="inlineStr">
        <is>
          <t>官网价格</t>
        </is>
      </c>
    </row>
    <row r="10">
      <c r="A10" t="inlineStr">
        <is>
          <t>电池容量</t>
        </is>
      </c>
      <c r="B10" s="6" t="n">
        <v>46</v>
      </c>
      <c r="C10" s="6" t="n">
        <v>35.2</v>
      </c>
      <c r="D10" t="inlineStr">
        <is>
          <t>kWh</t>
        </is>
      </c>
      <c r="E10" t="inlineStr">
        <is>
          <t>官方参数</t>
        </is>
      </c>
    </row>
    <row r="11">
      <c r="A11" t="inlineStr">
        <is>
          <t>续航里程</t>
        </is>
      </c>
      <c r="B11" s="6" t="n">
        <v>260</v>
      </c>
      <c r="C11" s="6" t="n">
        <v>260</v>
      </c>
      <c r="D11" t="inlineStr">
        <is>
          <t>km</t>
        </is>
      </c>
      <c r="E11" t="inlineStr">
        <is>
          <t>CLTC工况</t>
        </is>
      </c>
    </row>
    <row r="12">
      <c r="A12" t="inlineStr">
        <is>
          <t>生命周期</t>
        </is>
      </c>
      <c r="B12" s="6" t="n">
        <v>5</v>
      </c>
      <c r="C12" s="6" t="n">
        <v>7</v>
      </c>
      <c r="D12" t="inlineStr">
        <is>
          <t>年</t>
        </is>
      </c>
      <c r="E12" t="inlineStr">
        <is>
          <t>技术迭代快5年；传统车7年</t>
        </is>
      </c>
    </row>
    <row r="13">
      <c r="A13" t="inlineStr">
        <is>
          <t>残值</t>
        </is>
      </c>
      <c r="B13" s="6" t="n">
        <v>30000</v>
      </c>
      <c r="C13" s="6" t="n">
        <v>22000</v>
      </c>
      <c r="D13" t="inlineStr">
        <is>
          <t>元</t>
        </is>
      </c>
      <c r="E13" t="inlineStr">
        <is>
          <t>约购车成本38%/15%</t>
        </is>
      </c>
    </row>
    <row r="15">
      <c r="A15" s="4" t="inlineStr">
        <is>
          <t>【B区】运营时间参数</t>
        </is>
      </c>
    </row>
    <row r="16">
      <c r="A16" s="5" t="inlineStr">
        <is>
          <t>参数项</t>
        </is>
      </c>
      <c r="B16" s="5" t="inlineStr">
        <is>
          <t>无人车</t>
        </is>
      </c>
      <c r="C16" s="5" t="inlineStr">
        <is>
          <t>人驾电动轻卡</t>
        </is>
      </c>
      <c r="D16" s="5" t="inlineStr">
        <is>
          <t>单位</t>
        </is>
      </c>
      <c r="E16" s="5" t="inlineStr">
        <is>
          <t>说明</t>
        </is>
      </c>
    </row>
    <row r="17">
      <c r="A17" t="inlineStr">
        <is>
          <t>年运营天数</t>
        </is>
      </c>
      <c r="B17" s="6" t="n">
        <v>350</v>
      </c>
      <c r="C17" s="6" t="n">
        <v>330</v>
      </c>
      <c r="D17" t="inlineStr">
        <is>
          <t>天</t>
        </is>
      </c>
      <c r="E17" t="inlineStr">
        <is>
          <t>少维护vs法定假日</t>
        </is>
      </c>
    </row>
    <row r="18">
      <c r="A18" t="inlineStr">
        <is>
          <t>日有效运营时长</t>
        </is>
      </c>
      <c r="B18" s="6" t="n">
        <v>10</v>
      </c>
      <c r="C18" s="6" t="n">
        <v>8</v>
      </c>
      <c r="D18" t="inlineStr">
        <is>
          <t>小时</t>
        </is>
      </c>
      <c r="E18" t="inlineStr">
        <is>
          <t>夜间受限vs8小时工作制</t>
        </is>
      </c>
    </row>
    <row r="19">
      <c r="A19" t="inlineStr">
        <is>
          <t>平均运营时速</t>
        </is>
      </c>
      <c r="B19" s="6" t="n">
        <v>25</v>
      </c>
      <c r="C19" s="6" t="n">
        <v>28</v>
      </c>
      <c r="D19" t="inlineStr">
        <is>
          <t>km/h</t>
        </is>
      </c>
      <c r="E19" t="inlineStr">
        <is>
          <t>保守驾驶vs经验丰富</t>
        </is>
      </c>
    </row>
    <row r="21">
      <c r="A21" s="4" t="inlineStr">
        <is>
          <t>【C区】年度成本参数</t>
        </is>
      </c>
    </row>
    <row r="22">
      <c r="A22" s="5" t="inlineStr">
        <is>
          <t>成本项</t>
        </is>
      </c>
      <c r="B22" s="5" t="inlineStr">
        <is>
          <t>无人车</t>
        </is>
      </c>
      <c r="C22" s="5" t="inlineStr">
        <is>
          <t>人驾电动轻卡</t>
        </is>
      </c>
      <c r="D22" s="5" t="inlineStr">
        <is>
          <t>单位</t>
        </is>
      </c>
      <c r="E22" s="5" t="inlineStr">
        <is>
          <t>说明</t>
        </is>
      </c>
    </row>
    <row r="23">
      <c r="A23" t="inlineStr">
        <is>
          <t>人力成本</t>
        </is>
      </c>
      <c r="B23" s="6" t="n">
        <v>1000</v>
      </c>
      <c r="C23" s="6" t="n">
        <v>110000</v>
      </c>
      <c r="D23" t="inlineStr">
        <is>
          <t>元/年</t>
        </is>
      </c>
      <c r="E23" t="inlineStr">
        <is>
          <t>1:100分摊 vs 司机+社保</t>
        </is>
      </c>
    </row>
    <row r="24">
      <c r="A24" t="inlineStr">
        <is>
          <t>软件订阅费</t>
        </is>
      </c>
      <c r="B24" s="6" t="n">
        <v>34000</v>
      </c>
      <c r="C24" s="6" t="n">
        <v>0</v>
      </c>
      <c r="D24" t="inlineStr">
        <is>
          <t>元/年</t>
        </is>
      </c>
      <c r="E24" t="inlineStr">
        <is>
          <t>8500元/季度×4</t>
        </is>
      </c>
    </row>
    <row r="25">
      <c r="A25" t="inlineStr">
        <is>
          <t>保险费用</t>
        </is>
      </c>
      <c r="B25" s="6" t="n">
        <v>9000</v>
      </c>
      <c r="C25" s="6" t="n">
        <v>12000</v>
      </c>
      <c r="D25" t="inlineStr">
        <is>
          <t>元/年</t>
        </is>
      </c>
      <c r="E25" t="inlineStr">
        <is>
          <t>风险低vs营运险</t>
        </is>
      </c>
    </row>
    <row r="26">
      <c r="A26" t="inlineStr">
        <is>
          <t>维保成本</t>
        </is>
      </c>
      <c r="B26" s="6" t="n">
        <v>8000</v>
      </c>
      <c r="C26" s="6" t="n">
        <v>7000</v>
      </c>
      <c r="D26" t="inlineStr">
        <is>
          <t>元/年</t>
        </is>
      </c>
      <c r="E26" t="inlineStr">
        <is>
          <t>传感器贵vs保养成熟</t>
        </is>
      </c>
    </row>
    <row r="27">
      <c r="A27" t="inlineStr">
        <is>
          <t>其他成本</t>
        </is>
      </c>
      <c r="B27" s="6" t="n">
        <v>3000</v>
      </c>
      <c r="C27" s="6" t="n">
        <v>5000</v>
      </c>
      <c r="D27" t="inlineStr">
        <is>
          <t>元/年</t>
        </is>
      </c>
      <c r="E27" t="inlineStr">
        <is>
          <t>停车、过路费等</t>
        </is>
      </c>
    </row>
    <row r="29">
      <c r="A29" s="4" t="inlineStr">
        <is>
          <t>【D区】能源参数</t>
        </is>
      </c>
    </row>
    <row r="30">
      <c r="A30" s="5" t="inlineStr">
        <is>
          <t>参数项</t>
        </is>
      </c>
      <c r="B30" s="5" t="inlineStr">
        <is>
          <t>无人车</t>
        </is>
      </c>
      <c r="C30" s="5" t="inlineStr">
        <is>
          <t>人驾电动轻卡</t>
        </is>
      </c>
      <c r="D30" s="5" t="inlineStr">
        <is>
          <t>单位</t>
        </is>
      </c>
      <c r="E30" s="5" t="inlineStr">
        <is>
          <t>说明</t>
        </is>
      </c>
    </row>
    <row r="31">
      <c r="A31" t="inlineStr">
        <is>
          <t>百公里电耗</t>
        </is>
      </c>
      <c r="B31" s="6" t="n">
        <v>17.7</v>
      </c>
      <c r="C31" s="6" t="n">
        <v>15</v>
      </c>
      <c r="D31" t="inlineStr">
        <is>
          <t>kWh</t>
        </is>
      </c>
      <c r="E31" t="inlineStr">
        <is>
          <t>传感器耗电vs行业参考</t>
        </is>
      </c>
    </row>
    <row r="32">
      <c r="A32" t="inlineStr">
        <is>
          <t>电价标准</t>
        </is>
      </c>
      <c r="B32" s="6" t="n">
        <v>0.8</v>
      </c>
      <c r="C32" s="6" t="n">
        <v>0.8</v>
      </c>
      <c r="D32" t="inlineStr">
        <is>
          <t>元/kWh</t>
        </is>
      </c>
      <c r="E32" t="inlineStr">
        <is>
          <t>工业用电峰谷混合</t>
        </is>
      </c>
    </row>
    <row r="34">
      <c r="A34" s="4" t="inlineStr">
        <is>
          <t>【E区】业务场景参数</t>
        </is>
      </c>
    </row>
    <row r="35">
      <c r="A35" t="inlineStr">
        <is>
          <t>单次往返里程</t>
        </is>
      </c>
      <c r="B35" s="6" t="n">
        <v>50</v>
      </c>
      <c r="C35" t="inlineStr">
        <is>
          <t>公里</t>
        </is>
      </c>
      <c r="D35" t="inlineStr">
        <is>
          <t>仓储物流场景</t>
        </is>
      </c>
    </row>
    <row r="36">
      <c r="A36" t="inlineStr">
        <is>
          <t>单次满载件数</t>
        </is>
      </c>
      <c r="B36" s="6" t="n">
        <v>500</v>
      </c>
      <c r="C36" t="inlineStr">
        <is>
          <t>件</t>
        </is>
      </c>
      <c r="D36" t="inlineStr">
        <is>
          <t>8m³标准包裹</t>
        </is>
      </c>
    </row>
    <row r="38">
      <c r="A38" s="7" t="inlineStr">
        <is>
          <t>【F区】市场定价参数（⚠️ 外部市场价，非成本！）</t>
        </is>
      </c>
    </row>
    <row r="39">
      <c r="A39" t="inlineStr">
        <is>
          <t>按公里收费</t>
        </is>
      </c>
      <c r="B39" s="6" t="n">
        <v>4.5</v>
      </c>
      <c r="C39" t="inlineStr">
        <is>
          <t>元/km</t>
        </is>
      </c>
      <c r="D39" t="inlineStr">
        <is>
          <t>短途货运市场价</t>
        </is>
      </c>
    </row>
    <row r="40">
      <c r="A40" t="inlineStr">
        <is>
          <t>按件收费</t>
        </is>
      </c>
      <c r="B40" s="6" t="n">
        <v>0.3</v>
      </c>
      <c r="C40" t="inlineStr">
        <is>
          <t>元/件</t>
        </is>
      </c>
      <c r="D40" t="inlineStr">
        <is>
          <t>城市配送标准</t>
        </is>
      </c>
    </row>
  </sheetData>
  <mergeCells count="7">
    <mergeCell ref="A21:E21"/>
    <mergeCell ref="A34:E34"/>
    <mergeCell ref="A29:E29"/>
    <mergeCell ref="A38:E38"/>
    <mergeCell ref="A15:E15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5" customWidth="1" min="4" max="4"/>
  </cols>
  <sheetData>
    <row r="1" ht="25" customHeight="1">
      <c r="A1" s="8" t="inlineStr">
        <is>
          <t>无人车模式 - 5年TCO分析（动态模型）</t>
        </is>
      </c>
    </row>
    <row r="2">
      <c r="A2" s="9" t="inlineStr">
        <is>
          <t>💡 本Sheet所有数据自动计算，修改参数表即可更新</t>
        </is>
      </c>
    </row>
    <row r="4">
      <c r="A4" s="4" t="inlineStr">
        <is>
          <t>一、一次性投资</t>
        </is>
      </c>
    </row>
    <row r="5">
      <c r="A5" s="10" t="inlineStr">
        <is>
          <t>车辆采购成本</t>
        </is>
      </c>
      <c r="B5" s="11">
        <f>'1-参数配置'!B9</f>
        <v/>
      </c>
      <c r="C5" t="inlineStr">
        <is>
          <t>元</t>
        </is>
      </c>
    </row>
    <row r="7">
      <c r="A7" s="4" t="inlineStr">
        <is>
          <t>二、运营指标（自动计算）</t>
        </is>
      </c>
    </row>
    <row r="8">
      <c r="A8" t="inlineStr">
        <is>
          <t>日均行驶里程</t>
        </is>
      </c>
      <c r="B8" s="12">
        <f>'1-参数配置'!B18*'1-参数配置'!B19</f>
        <v/>
      </c>
      <c r="C8" t="inlineStr">
        <is>
          <t>km/天</t>
        </is>
      </c>
    </row>
    <row r="9">
      <c r="A9" t="inlineStr">
        <is>
          <t>年行驶里程</t>
        </is>
      </c>
      <c r="B9" s="11">
        <f>B8*'1-参数配置'!B17</f>
        <v/>
      </c>
      <c r="C9" t="inlineStr">
        <is>
          <t>km/年</t>
        </is>
      </c>
    </row>
    <row r="10">
      <c r="A10" t="inlineStr">
        <is>
          <t>5年总里程</t>
        </is>
      </c>
      <c r="B10" s="11">
        <f>B9*'1-参数配置'!B12</f>
        <v/>
      </c>
      <c r="C10" t="inlineStr">
        <is>
          <t>km</t>
        </is>
      </c>
    </row>
    <row r="11">
      <c r="A11" t="inlineStr">
        <is>
          <t>每公里电费</t>
        </is>
      </c>
      <c r="B11" s="13">
        <f>'1-参数配置'!B31/100*'1-参数配置'!B32</f>
        <v/>
      </c>
      <c r="C11" t="inlineStr">
        <is>
          <t>元/km</t>
        </is>
      </c>
    </row>
    <row r="13">
      <c r="A13" s="4" t="inlineStr">
        <is>
          <t>三、年度成本结构</t>
        </is>
      </c>
    </row>
    <row r="14">
      <c r="A14" s="14" t="inlineStr">
        <is>
          <t>【固定成本】</t>
        </is>
      </c>
    </row>
    <row r="15">
      <c r="A15" t="inlineStr">
        <is>
          <t xml:space="preserve">  人力成本</t>
        </is>
      </c>
      <c r="B15" s="11">
        <f>'1-参数配置'!B23</f>
        <v/>
      </c>
      <c r="C15" t="inlineStr">
        <is>
          <t>元/年</t>
        </is>
      </c>
    </row>
    <row r="16">
      <c r="A16" t="inlineStr">
        <is>
          <t xml:space="preserve">  软件订阅费</t>
        </is>
      </c>
      <c r="B16" s="11">
        <f>'1-参数配置'!B24</f>
        <v/>
      </c>
      <c r="C16" t="inlineStr">
        <is>
          <t>元/年</t>
        </is>
      </c>
    </row>
    <row r="17">
      <c r="A17" t="inlineStr">
        <is>
          <t xml:space="preserve">  保险费用</t>
        </is>
      </c>
      <c r="B17" s="11">
        <f>'1-参数配置'!B25</f>
        <v/>
      </c>
      <c r="C17" t="inlineStr">
        <is>
          <t>元/年</t>
        </is>
      </c>
    </row>
    <row r="18">
      <c r="A18" s="14" t="inlineStr">
        <is>
          <t>固定成本小计</t>
        </is>
      </c>
      <c r="B18" s="15">
        <f>SUM(B15:B17)</f>
        <v/>
      </c>
      <c r="C18" t="inlineStr">
        <is>
          <t>元/年</t>
        </is>
      </c>
    </row>
    <row r="20">
      <c r="A20" s="14" t="inlineStr">
        <is>
          <t>【可变成本】</t>
        </is>
      </c>
    </row>
    <row r="21">
      <c r="A21" t="inlineStr">
        <is>
          <t xml:space="preserve">  能源成本</t>
        </is>
      </c>
      <c r="B21" s="11">
        <f>B9*B11</f>
        <v/>
      </c>
      <c r="C21" t="inlineStr">
        <is>
          <t>元/年</t>
        </is>
      </c>
    </row>
    <row r="22">
      <c r="A22" t="inlineStr">
        <is>
          <t xml:space="preserve">  维保成本</t>
        </is>
      </c>
      <c r="B22" s="11">
        <f>'1-参数配置'!B26</f>
        <v/>
      </c>
      <c r="C22" t="inlineStr">
        <is>
          <t>元/年</t>
        </is>
      </c>
    </row>
    <row r="23">
      <c r="A23" t="inlineStr">
        <is>
          <t xml:space="preserve">  其他成本</t>
        </is>
      </c>
      <c r="B23" s="11">
        <f>'1-参数配置'!B27</f>
        <v/>
      </c>
      <c r="C23" t="inlineStr">
        <is>
          <t>元/年</t>
        </is>
      </c>
    </row>
    <row r="24">
      <c r="A24" s="14" t="inlineStr">
        <is>
          <t>可变成本小计</t>
        </is>
      </c>
      <c r="B24" s="15">
        <f>SUM(B21:B23)</f>
        <v/>
      </c>
      <c r="C24" t="inlineStr">
        <is>
          <t>元/年</t>
        </is>
      </c>
    </row>
    <row r="26">
      <c r="A26" s="16" t="inlineStr">
        <is>
          <t>年度总成本</t>
        </is>
      </c>
      <c r="B26" s="17">
        <f>B18+B24</f>
        <v/>
      </c>
      <c r="C26" t="inlineStr">
        <is>
          <t>元/年</t>
        </is>
      </c>
    </row>
    <row r="28">
      <c r="A28" s="4" t="inlineStr">
        <is>
          <t>四、5年总拥有成本(TCO)</t>
        </is>
      </c>
    </row>
    <row r="29">
      <c r="A29" t="inlineStr">
        <is>
          <t>5年固定成本</t>
        </is>
      </c>
      <c r="B29" s="11">
        <f>B18*'1-参数配置'!B12</f>
        <v/>
      </c>
      <c r="C29" t="inlineStr">
        <is>
          <t>元</t>
        </is>
      </c>
    </row>
    <row r="30">
      <c r="A30" t="inlineStr">
        <is>
          <t>5年可变成本</t>
        </is>
      </c>
      <c r="B30" s="11">
        <f>B24*'1-参数配置'!B12</f>
        <v/>
      </c>
      <c r="C30" t="inlineStr">
        <is>
          <t>元</t>
        </is>
      </c>
    </row>
    <row r="31">
      <c r="A31" t="inlineStr">
        <is>
          <t>车辆采购成本</t>
        </is>
      </c>
      <c r="B31" s="11">
        <f>'1-参数配置'!B9</f>
        <v/>
      </c>
      <c r="C31" t="inlineStr">
        <is>
          <t>元</t>
        </is>
      </c>
    </row>
    <row r="32">
      <c r="A32" t="inlineStr">
        <is>
          <t>减：残值</t>
        </is>
      </c>
      <c r="B32" s="11">
        <f>-'1-参数配置'!B13</f>
        <v/>
      </c>
      <c r="C32" t="inlineStr">
        <is>
          <t>元</t>
        </is>
      </c>
    </row>
    <row r="33">
      <c r="A33" t="inlineStr">
        <is>
          <t>净车辆成本</t>
        </is>
      </c>
      <c r="B33" s="15">
        <f>B31+B32</f>
        <v/>
      </c>
      <c r="C33" t="inlineStr">
        <is>
          <t>元</t>
        </is>
      </c>
    </row>
    <row r="35">
      <c r="A35" s="18" t="inlineStr">
        <is>
          <t>5年TCO总成本</t>
        </is>
      </c>
      <c r="B35" s="19">
        <f>B29+B30+B33</f>
        <v/>
      </c>
      <c r="C35" t="inlineStr">
        <is>
          <t>元</t>
        </is>
      </c>
    </row>
    <row r="37">
      <c r="A37" s="4" t="inlineStr">
        <is>
          <t>五、业务量指标（5年）</t>
        </is>
      </c>
    </row>
    <row r="38">
      <c r="A38" t="inlineStr">
        <is>
          <t>总里程</t>
        </is>
      </c>
      <c r="B38" s="11">
        <f>B10</f>
        <v/>
      </c>
      <c r="C38" t="inlineStr">
        <is>
          <t>公里</t>
        </is>
      </c>
    </row>
    <row r="39">
      <c r="A39" t="inlineStr">
        <is>
          <t>总时长</t>
        </is>
      </c>
      <c r="B39" s="11">
        <f>'1-参数配置'!B18*'1-参数配置'!B17*'1-参数配置'!B12</f>
        <v/>
      </c>
      <c r="C39" t="inlineStr">
        <is>
          <t>小时</t>
        </is>
      </c>
    </row>
    <row r="40">
      <c r="A40" t="inlineStr">
        <is>
          <t>总趟次</t>
        </is>
      </c>
      <c r="B40" s="11">
        <f>B10/'1-参数配置'!B36</f>
        <v/>
      </c>
      <c r="C40" t="inlineStr">
        <is>
          <t>趟</t>
        </is>
      </c>
    </row>
    <row r="41">
      <c r="A41" t="inlineStr">
        <is>
          <t>总件数</t>
        </is>
      </c>
      <c r="B41" s="11">
        <f>B40*'1-参数配置'!B37</f>
        <v/>
      </c>
      <c r="C41" t="inlineStr">
        <is>
          <t>件</t>
        </is>
      </c>
    </row>
    <row r="43">
      <c r="A43" s="20" t="inlineStr">
        <is>
          <t>六、单位成本拆解（⚠️ 成本，非收费）</t>
        </is>
      </c>
    </row>
    <row r="44">
      <c r="A44" t="inlineStr">
        <is>
          <t>每公里成本</t>
        </is>
      </c>
      <c r="B44" s="21">
        <f>B35/B10</f>
        <v/>
      </c>
      <c r="C44" t="inlineStr">
        <is>
          <t>元/km</t>
        </is>
      </c>
    </row>
    <row r="45">
      <c r="A45" t="inlineStr">
        <is>
          <t>每小时成本</t>
        </is>
      </c>
      <c r="B45" s="21">
        <f>B35/B39</f>
        <v/>
      </c>
      <c r="C45" t="inlineStr">
        <is>
          <t>元/h</t>
        </is>
      </c>
    </row>
    <row r="46">
      <c r="A46" t="inlineStr">
        <is>
          <t>每趟次成本</t>
        </is>
      </c>
      <c r="B46" s="21">
        <f>B35/B40</f>
        <v/>
      </c>
      <c r="C46" t="inlineStr">
        <is>
          <t>元/趟</t>
        </is>
      </c>
    </row>
    <row r="47">
      <c r="A47" t="inlineStr">
        <is>
          <t>每件成本</t>
        </is>
      </c>
      <c r="B47" s="13">
        <f>B35/B41</f>
        <v/>
      </c>
      <c r="C47" t="inlineStr">
        <is>
          <t>元/件</t>
        </is>
      </c>
    </row>
    <row r="49">
      <c r="A49" t="inlineStr">
        <is>
          <t>每天成本</t>
        </is>
      </c>
      <c r="B49" s="21">
        <f>B35/('1-参数配置'!B17*'1-参数配置'!B12)</f>
        <v/>
      </c>
      <c r="C49" t="inlineStr">
        <is>
          <t>元/天</t>
        </is>
      </c>
    </row>
    <row r="50">
      <c r="A50" t="inlineStr">
        <is>
          <t>每月成本</t>
        </is>
      </c>
      <c r="B50" s="21">
        <f>B35/('1-参数配置'!B12*12)</f>
        <v/>
      </c>
      <c r="C50" t="inlineStr">
        <is>
          <t>元/月</t>
        </is>
      </c>
    </row>
    <row r="51">
      <c r="A51" t="inlineStr">
        <is>
          <t>每年成本</t>
        </is>
      </c>
      <c r="B51" s="11">
        <f>B26</f>
        <v/>
      </c>
      <c r="C51" t="inlineStr">
        <is>
          <t>元/年</t>
        </is>
      </c>
    </row>
  </sheetData>
  <mergeCells count="7">
    <mergeCell ref="A1:D1"/>
    <mergeCell ref="A37:D37"/>
    <mergeCell ref="A4:D4"/>
    <mergeCell ref="A7:D7"/>
    <mergeCell ref="A43:D43"/>
    <mergeCell ref="A28:D28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</cols>
  <sheetData>
    <row r="1" ht="25" customHeight="1">
      <c r="A1" s="8" t="inlineStr">
        <is>
          <t>人驾电动轻卡模式 - 5年TCO分析（动态模型）</t>
        </is>
      </c>
    </row>
    <row r="2">
      <c r="A2" s="9" t="inlineStr">
        <is>
          <t>💡 本Sheet所有数据自动计算，修改参数表即可更新</t>
        </is>
      </c>
    </row>
    <row r="3">
      <c r="A3" s="22" t="inlineStr">
        <is>
          <t>注：实际生命周期7年，为对比统一按5年计算</t>
        </is>
      </c>
    </row>
    <row r="5">
      <c r="A5" s="4" t="inlineStr">
        <is>
          <t>一、一次性投资</t>
        </is>
      </c>
    </row>
    <row r="6">
      <c r="A6" s="10" t="inlineStr">
        <is>
          <t>车辆采购成本</t>
        </is>
      </c>
      <c r="B6" s="11">
        <f>'1-参数配置'!C9</f>
        <v/>
      </c>
      <c r="C6" t="inlineStr">
        <is>
          <t>元</t>
        </is>
      </c>
    </row>
    <row r="8">
      <c r="A8" s="4" t="inlineStr">
        <is>
          <t>二、运营指标（自动计算）</t>
        </is>
      </c>
    </row>
    <row r="9">
      <c r="A9" t="inlineStr">
        <is>
          <t>日均行驶里程</t>
        </is>
      </c>
      <c r="B9" s="12">
        <f>'1-参数配置'!C18*'1-参数配置'!C19</f>
        <v/>
      </c>
      <c r="C9" t="inlineStr">
        <is>
          <t>km/天</t>
        </is>
      </c>
    </row>
    <row r="10">
      <c r="A10" t="inlineStr">
        <is>
          <t>年行驶里程</t>
        </is>
      </c>
      <c r="B10" s="11">
        <f>B9*'1-参数配置'!C17</f>
        <v/>
      </c>
      <c r="C10" t="inlineStr">
        <is>
          <t>km/年</t>
        </is>
      </c>
    </row>
    <row r="11">
      <c r="A11" t="inlineStr">
        <is>
          <t>5年总里程</t>
        </is>
      </c>
      <c r="B11" s="11">
        <f>B10*5</f>
        <v/>
      </c>
      <c r="C11" t="inlineStr">
        <is>
          <t>km</t>
        </is>
      </c>
    </row>
    <row r="12">
      <c r="A12" t="inlineStr">
        <is>
          <t>每公里电费</t>
        </is>
      </c>
      <c r="B12" s="13">
        <f>'1-参数配置'!C31/100*'1-参数配置'!C32</f>
        <v/>
      </c>
      <c r="C12" t="inlineStr">
        <is>
          <t>元/km</t>
        </is>
      </c>
    </row>
    <row r="14">
      <c r="A14" s="4" t="inlineStr">
        <is>
          <t>三、年度成本结构</t>
        </is>
      </c>
    </row>
    <row r="15">
      <c r="A15" s="14" t="inlineStr">
        <is>
          <t>【固定成本】</t>
        </is>
      </c>
    </row>
    <row r="16">
      <c r="A16" t="inlineStr">
        <is>
          <t xml:space="preserve">  人力成本</t>
        </is>
      </c>
      <c r="B16" s="11">
        <f>'1-参数配置'!C23</f>
        <v/>
      </c>
      <c r="C16" t="inlineStr">
        <is>
          <t>元/年 ⭐</t>
        </is>
      </c>
    </row>
    <row r="17">
      <c r="A17" t="inlineStr">
        <is>
          <t xml:space="preserve">  保险费用</t>
        </is>
      </c>
      <c r="B17" s="11">
        <f>'1-参数配置'!C25</f>
        <v/>
      </c>
      <c r="C17" t="inlineStr">
        <is>
          <t>元/年</t>
        </is>
      </c>
    </row>
    <row r="18">
      <c r="A18" s="14" t="inlineStr">
        <is>
          <t>固定成本小计</t>
        </is>
      </c>
      <c r="B18" s="15">
        <f>SUM(B16:B17)</f>
        <v/>
      </c>
      <c r="C18" t="inlineStr">
        <is>
          <t>元/年</t>
        </is>
      </c>
    </row>
    <row r="20">
      <c r="A20" s="14" t="inlineStr">
        <is>
          <t>【可变成本】</t>
        </is>
      </c>
    </row>
    <row r="21">
      <c r="A21" t="inlineStr">
        <is>
          <t xml:space="preserve">  能源成本</t>
        </is>
      </c>
      <c r="B21" s="11">
        <f>B10*B12</f>
        <v/>
      </c>
      <c r="C21" t="inlineStr">
        <is>
          <t>元/年</t>
        </is>
      </c>
    </row>
    <row r="22">
      <c r="A22" t="inlineStr">
        <is>
          <t xml:space="preserve">  维保成本</t>
        </is>
      </c>
      <c r="B22" s="11">
        <f>'1-参数配置'!C26</f>
        <v/>
      </c>
      <c r="C22" t="inlineStr">
        <is>
          <t>元/年</t>
        </is>
      </c>
    </row>
    <row r="23">
      <c r="A23" t="inlineStr">
        <is>
          <t xml:space="preserve">  其他成本</t>
        </is>
      </c>
      <c r="B23" s="11">
        <f>'1-参数配置'!C27</f>
        <v/>
      </c>
      <c r="C23" t="inlineStr">
        <is>
          <t>元/年</t>
        </is>
      </c>
    </row>
    <row r="24">
      <c r="A24" s="14" t="inlineStr">
        <is>
          <t>可变成本小计</t>
        </is>
      </c>
      <c r="B24" s="15">
        <f>SUM(B21:B23)</f>
        <v/>
      </c>
      <c r="C24" t="inlineStr">
        <is>
          <t>元/年</t>
        </is>
      </c>
    </row>
    <row r="26">
      <c r="A26" s="16" t="inlineStr">
        <is>
          <t>年度总成本</t>
        </is>
      </c>
      <c r="B26" s="17">
        <f>B18+B24</f>
        <v/>
      </c>
      <c r="C26" t="inlineStr">
        <is>
          <t>元/年</t>
        </is>
      </c>
    </row>
    <row r="28">
      <c r="A28" s="4" t="inlineStr">
        <is>
          <t>四、5年总拥有成本(TCO)</t>
        </is>
      </c>
    </row>
    <row r="29">
      <c r="A29" t="inlineStr">
        <is>
          <t>5年固定成本</t>
        </is>
      </c>
      <c r="B29" s="11">
        <f>B18*5</f>
        <v/>
      </c>
      <c r="C29" t="inlineStr">
        <is>
          <t>元</t>
        </is>
      </c>
    </row>
    <row r="30">
      <c r="A30" t="inlineStr">
        <is>
          <t>5年可变成本</t>
        </is>
      </c>
      <c r="B30" s="11">
        <f>B24*5</f>
        <v/>
      </c>
      <c r="C30" t="inlineStr">
        <is>
          <t>元</t>
        </is>
      </c>
    </row>
    <row r="31">
      <c r="A31" t="inlineStr">
        <is>
          <t>车辆采购成本</t>
        </is>
      </c>
      <c r="B31" s="11">
        <f>'1-参数配置'!C9</f>
        <v/>
      </c>
      <c r="C31" t="inlineStr">
        <is>
          <t>元</t>
        </is>
      </c>
    </row>
    <row r="32">
      <c r="A32" t="inlineStr">
        <is>
          <t>减：残值</t>
        </is>
      </c>
      <c r="B32" s="11">
        <f>-'1-参数配置'!C13</f>
        <v/>
      </c>
      <c r="C32" t="inlineStr">
        <is>
          <t>元</t>
        </is>
      </c>
    </row>
    <row r="33">
      <c r="A33" t="inlineStr">
        <is>
          <t>净车辆成本</t>
        </is>
      </c>
      <c r="B33" s="15">
        <f>B31+B32</f>
        <v/>
      </c>
      <c r="C33" t="inlineStr">
        <is>
          <t>元</t>
        </is>
      </c>
    </row>
    <row r="35">
      <c r="A35" s="18" t="inlineStr">
        <is>
          <t>5年TCO总成本</t>
        </is>
      </c>
      <c r="B35" s="19">
        <f>B29+B30+B33</f>
        <v/>
      </c>
      <c r="C35" t="inlineStr">
        <is>
          <t>元</t>
        </is>
      </c>
    </row>
    <row r="37">
      <c r="A37" s="4" t="inlineStr">
        <is>
          <t>五、业务量指标（5年）</t>
        </is>
      </c>
    </row>
    <row r="38">
      <c r="A38" t="inlineStr">
        <is>
          <t>总里程</t>
        </is>
      </c>
      <c r="B38" s="11">
        <f>B11</f>
        <v/>
      </c>
      <c r="C38" t="inlineStr">
        <is>
          <t>公里</t>
        </is>
      </c>
    </row>
    <row r="39">
      <c r="A39" t="inlineStr">
        <is>
          <t>总时长</t>
        </is>
      </c>
      <c r="B39" s="11">
        <f>'1-参数配置'!C18*'1-参数配置'!C17*5</f>
        <v/>
      </c>
      <c r="C39" t="inlineStr">
        <is>
          <t>小时</t>
        </is>
      </c>
    </row>
    <row r="40">
      <c r="A40" t="inlineStr">
        <is>
          <t>总趟次</t>
        </is>
      </c>
      <c r="B40" s="11">
        <f>B11/'1-参数配置'!C36</f>
        <v/>
      </c>
      <c r="C40" t="inlineStr">
        <is>
          <t>趟</t>
        </is>
      </c>
    </row>
    <row r="41">
      <c r="A41" t="inlineStr">
        <is>
          <t>总件数</t>
        </is>
      </c>
      <c r="B41" s="11">
        <f>B40*'1-参数配置'!C37</f>
        <v/>
      </c>
      <c r="C41" t="inlineStr">
        <is>
          <t>件</t>
        </is>
      </c>
    </row>
    <row r="43">
      <c r="A43" s="20" t="inlineStr">
        <is>
          <t>六、单位成本拆解（⚠️ 成本，非收费）</t>
        </is>
      </c>
    </row>
    <row r="44">
      <c r="A44" t="inlineStr">
        <is>
          <t>每公里成本</t>
        </is>
      </c>
      <c r="B44" s="21">
        <f>B35/B11</f>
        <v/>
      </c>
      <c r="C44" t="inlineStr">
        <is>
          <t>元/km</t>
        </is>
      </c>
    </row>
    <row r="45">
      <c r="A45" t="inlineStr">
        <is>
          <t>每小时成本</t>
        </is>
      </c>
      <c r="B45" s="21">
        <f>B35/B39</f>
        <v/>
      </c>
      <c r="C45" t="inlineStr">
        <is>
          <t>元/h</t>
        </is>
      </c>
    </row>
    <row r="46">
      <c r="A46" t="inlineStr">
        <is>
          <t>每趟次成本</t>
        </is>
      </c>
      <c r="B46" s="21">
        <f>B35/B40</f>
        <v/>
      </c>
      <c r="C46" t="inlineStr">
        <is>
          <t>元/趟</t>
        </is>
      </c>
    </row>
    <row r="47">
      <c r="A47" t="inlineStr">
        <is>
          <t>每件成本</t>
        </is>
      </c>
      <c r="B47" s="13">
        <f>B35/B41</f>
        <v/>
      </c>
      <c r="C47" t="inlineStr">
        <is>
          <t>元/件</t>
        </is>
      </c>
    </row>
    <row r="49">
      <c r="A49" t="inlineStr">
        <is>
          <t>每天成本</t>
        </is>
      </c>
      <c r="B49" s="21">
        <f>B35/('1-参数配置'!C17*5)</f>
        <v/>
      </c>
      <c r="C49" t="inlineStr">
        <is>
          <t>元/天</t>
        </is>
      </c>
    </row>
    <row r="50">
      <c r="A50" t="inlineStr">
        <is>
          <t>每月成本</t>
        </is>
      </c>
      <c r="B50" s="21">
        <f>B35/60</f>
        <v/>
      </c>
      <c r="C50" t="inlineStr">
        <is>
          <t>元/月</t>
        </is>
      </c>
    </row>
    <row r="51">
      <c r="A51" t="inlineStr">
        <is>
          <t>每年成本</t>
        </is>
      </c>
      <c r="B51" s="11">
        <f>B26</f>
        <v/>
      </c>
      <c r="C51" t="inlineStr">
        <is>
          <t>元/年</t>
        </is>
      </c>
    </row>
  </sheetData>
  <mergeCells count="7">
    <mergeCell ref="A1:D1"/>
    <mergeCell ref="A5:D5"/>
    <mergeCell ref="A37:D37"/>
    <mergeCell ref="A8:D8"/>
    <mergeCell ref="A43:D43"/>
    <mergeCell ref="A28:D28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2" customWidth="1" min="5" max="5"/>
    <col width="8" customWidth="1" min="6" max="6"/>
  </cols>
  <sheetData>
    <row r="1" ht="25" customHeight="1">
      <c r="A1" s="8" t="inlineStr">
        <is>
          <t>无人车 vs 人驾轻卡：成本对比分析（动态模型）</t>
        </is>
      </c>
    </row>
    <row r="2">
      <c r="A2" s="9" t="inlineStr">
        <is>
          <t>💡 本Sheet所有对比自动计算，修改参数表即可更新</t>
        </is>
      </c>
    </row>
    <row r="4">
      <c r="A4" s="4" t="inlineStr">
        <is>
          <t>一、初始投资对比</t>
        </is>
      </c>
    </row>
    <row r="5">
      <c r="A5" s="23" t="inlineStr">
        <is>
          <t>项目</t>
        </is>
      </c>
      <c r="B5" s="23" t="inlineStr">
        <is>
          <t>无人车</t>
        </is>
      </c>
      <c r="C5" s="23" t="inlineStr">
        <is>
          <t>人驾轻卡</t>
        </is>
      </c>
      <c r="D5" s="23" t="inlineStr">
        <is>
          <t>绝对差异</t>
        </is>
      </c>
      <c r="E5" s="23" t="inlineStr">
        <is>
          <t>相对差异</t>
        </is>
      </c>
      <c r="F5" s="23" t="inlineStr"/>
    </row>
    <row r="6">
      <c r="A6" t="inlineStr">
        <is>
          <t>采购成本</t>
        </is>
      </c>
      <c r="B6" s="11">
        <f>'1-参数配置'!B9</f>
        <v/>
      </c>
      <c r="C6" s="11">
        <f>'1-参数配置'!C9</f>
        <v/>
      </c>
      <c r="D6" s="24">
        <f>B6-C6</f>
        <v/>
      </c>
      <c r="E6" s="25">
        <f>(B6-C6)/C6</f>
        <v/>
      </c>
    </row>
    <row r="8">
      <c r="A8" s="4" t="inlineStr">
        <is>
          <t>二、5年TCO对比（核心）</t>
        </is>
      </c>
    </row>
    <row r="9">
      <c r="A9" s="5" t="inlineStr">
        <is>
          <t>项目</t>
        </is>
      </c>
      <c r="B9" s="5" t="inlineStr">
        <is>
          <t>无人车</t>
        </is>
      </c>
      <c r="C9" s="5" t="inlineStr">
        <is>
          <t>人驾轻卡</t>
        </is>
      </c>
      <c r="D9" s="5" t="inlineStr">
        <is>
          <t>绝对差异</t>
        </is>
      </c>
      <c r="E9" s="5" t="inlineStr">
        <is>
          <t>相对差异</t>
        </is>
      </c>
      <c r="F9" s="5" t="inlineStr"/>
    </row>
    <row r="10">
      <c r="A10" s="16" t="inlineStr">
        <is>
          <t>5年TCO总成本</t>
        </is>
      </c>
      <c r="B10" s="26">
        <f>'2-无人车TCO'!B35</f>
        <v/>
      </c>
      <c r="C10" s="26">
        <f>'3-人驾轻卡TCO'!B35</f>
        <v/>
      </c>
      <c r="D10" s="27">
        <f>B10-C10</f>
        <v/>
      </c>
      <c r="E10" s="28">
        <f>(B10-C10)/C10</f>
        <v/>
      </c>
      <c r="F10" s="29" t="inlineStr">
        <is>
          <t>⭐⭐⭐</t>
        </is>
      </c>
    </row>
    <row r="12">
      <c r="A12" s="4" t="inlineStr">
        <is>
          <t>三、单位成本对比</t>
        </is>
      </c>
    </row>
    <row r="13">
      <c r="A13" s="5" t="inlineStr">
        <is>
          <t>项目</t>
        </is>
      </c>
      <c r="B13" s="5" t="inlineStr">
        <is>
          <t>无人车</t>
        </is>
      </c>
      <c r="C13" s="5" t="inlineStr">
        <is>
          <t>人驾轻卡</t>
        </is>
      </c>
      <c r="D13" s="5" t="inlineStr">
        <is>
          <t>绝对差异</t>
        </is>
      </c>
      <c r="E13" s="5" t="inlineStr">
        <is>
          <t>相对差异</t>
        </is>
      </c>
      <c r="F13" s="5" t="inlineStr"/>
    </row>
    <row r="14">
      <c r="A14" t="inlineStr">
        <is>
          <t>每公里成本</t>
        </is>
      </c>
      <c r="B14" s="21">
        <f>'2-无人车TCO'!B35/'2-无人车TCO'!B10</f>
        <v/>
      </c>
      <c r="C14" s="21">
        <f>'3-人驾轻卡TCO'!B35/'3-人驾轻卡TCO'!B11</f>
        <v/>
      </c>
      <c r="D14" s="30">
        <f>B14-C14</f>
        <v/>
      </c>
      <c r="E14" s="25">
        <f>(B14-C14)/C14</f>
        <v/>
      </c>
      <c r="F14" s="29" t="inlineStr">
        <is>
          <t>⭐</t>
        </is>
      </c>
    </row>
    <row r="15">
      <c r="A15" t="inlineStr">
        <is>
          <t>每件成本</t>
        </is>
      </c>
      <c r="B15" s="13">
        <f>'2-无人车TCO'!B35/'2-无人车TCO'!B41</f>
        <v/>
      </c>
      <c r="C15" s="13">
        <f>'3-人驾轻卡TCO'!B35/'3-人驾轻卡TCO'!B41</f>
        <v/>
      </c>
      <c r="D15" s="31">
        <f>B15-C15</f>
        <v/>
      </c>
      <c r="E15" s="25">
        <f>(B15-C15)/C15</f>
        <v/>
      </c>
      <c r="F15" s="29" t="inlineStr">
        <is>
          <t>⭐</t>
        </is>
      </c>
    </row>
    <row r="17">
      <c r="A17" s="4" t="inlineStr">
        <is>
          <t>四、运营效率对比</t>
        </is>
      </c>
    </row>
    <row r="18">
      <c r="A18" s="5" t="inlineStr">
        <is>
          <t>项目</t>
        </is>
      </c>
      <c r="B18" s="5" t="inlineStr">
        <is>
          <t>无人车</t>
        </is>
      </c>
      <c r="C18" s="5" t="inlineStr">
        <is>
          <t>人驾轻卡</t>
        </is>
      </c>
      <c r="D18" s="5" t="inlineStr">
        <is>
          <t>绝对差异</t>
        </is>
      </c>
      <c r="E18" s="5" t="inlineStr">
        <is>
          <t>相对差异</t>
        </is>
      </c>
      <c r="F18" s="5" t="inlineStr"/>
    </row>
    <row r="19">
      <c r="A19" t="inlineStr">
        <is>
          <t>年运营天数</t>
        </is>
      </c>
      <c r="B19" s="11">
        <f>'1-参数配置'!B17</f>
        <v/>
      </c>
      <c r="C19" s="11">
        <f>'1-参数配置'!C17</f>
        <v/>
      </c>
      <c r="D19" s="32">
        <f>B19-C19</f>
        <v/>
      </c>
      <c r="E19" s="33">
        <f>(B19-C19)/C19</f>
        <v/>
      </c>
    </row>
    <row r="20">
      <c r="A20" t="inlineStr">
        <is>
          <t>日运营时长</t>
        </is>
      </c>
      <c r="B20" s="11">
        <f>'1-参数配置'!B18</f>
        <v/>
      </c>
      <c r="C20" s="11">
        <f>'1-参数配置'!C18</f>
        <v/>
      </c>
      <c r="D20" s="32">
        <f>B20-C20</f>
        <v/>
      </c>
      <c r="E20" s="33">
        <f>(B20-C20)/C20</f>
        <v/>
      </c>
    </row>
    <row r="21">
      <c r="A21" t="inlineStr">
        <is>
          <t>日均里程</t>
        </is>
      </c>
      <c r="B21" s="11">
        <f>'2-无人车TCO'!B8</f>
        <v/>
      </c>
      <c r="C21" s="11">
        <f>'3-人驾轻卡TCO'!B9</f>
        <v/>
      </c>
      <c r="D21" s="32">
        <f>B21-C21</f>
        <v/>
      </c>
      <c r="E21" s="33">
        <f>(B21-C21)/C21</f>
        <v/>
      </c>
    </row>
    <row r="22">
      <c r="A22" t="inlineStr">
        <is>
          <t>5年总里程</t>
        </is>
      </c>
      <c r="B22" s="11">
        <f>'2-无人车TCO'!B10</f>
        <v/>
      </c>
      <c r="C22" s="11">
        <f>'3-人驾轻卡TCO'!B11</f>
        <v/>
      </c>
      <c r="D22" s="32">
        <f>B22-C22</f>
        <v/>
      </c>
      <c r="E22" s="33">
        <f>(B22-C22)/C22</f>
        <v/>
      </c>
    </row>
  </sheetData>
  <mergeCells count="5">
    <mergeCell ref="A1:F1"/>
    <mergeCell ref="A8:F8"/>
    <mergeCell ref="A17:F17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2025-11-12T12:33:09Z</dcterms:created>
  <dcterms:modified xsi:type="dcterms:W3CDTF">2025-11-12T12:33:09Z</dcterms:modified>
</cp:coreProperties>
</file>