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参数配置" sheetId="1" state="visible" r:id="rId1"/>
    <sheet name="2-运营商-订阅模式" sheetId="2" state="visible" r:id="rId2"/>
    <sheet name="3-运营商-人驾轻卡" sheetId="3" state="visible" r:id="rId3"/>
    <sheet name="4-运营商对比分析" sheetId="4" state="visible" r:id="rId4"/>
    <sheet name="5-厂商盈利分析" sheetId="5" state="visible" r:id="rId5"/>
    <sheet name="6-综合对比" sheetId="6" state="visible" r:id="rId6"/>
  </sheets>
  <definedNames>
    <definedName name="rv_vehicle_type">'1-参数配置'!$B$8</definedName>
    <definedName name="trad_vehicle_type">'1-参数配置'!$C$8</definedName>
    <definedName name="rv_capacity_m3">'1-参数配置'!$B$9</definedName>
    <definedName name="trad_capacity_m3">'1-参数配置'!$C$9</definedName>
    <definedName name="rv_price">'1-参数配置'!$B$10</definedName>
    <definedName name="trad_price">'1-参数配置'!$C$10</definedName>
    <definedName name="rv_battery">'1-参数配置'!$B$11</definedName>
    <definedName name="trad_battery">'1-参数配置'!$C$11</definedName>
    <definedName name="rv_range">'1-参数配置'!$B$12</definedName>
    <definedName name="trad_range">'1-参数配置'!$C$12</definedName>
    <definedName name="rv_lifecycle">'1-参数配置'!$B$13</definedName>
    <definedName name="trad_lifecycle">'1-参数配置'!$C$13</definedName>
    <definedName name="rv_residual">'1-参数配置'!$B$14</definedName>
    <definedName name="trad_residual">'1-参数配置'!$C$14</definedName>
    <definedName name="rv_work_days">'1-参数配置'!$B$18</definedName>
    <definedName name="trad_work_days">'1-参数配置'!$C$18</definedName>
    <definedName name="rv_work_hours">'1-参数配置'!$B$19</definedName>
    <definedName name="trad_work_hours">'1-参数配置'!$C$19</definedName>
    <definedName name="rv_speed">'1-参数配置'!$B$20</definedName>
    <definedName name="trad_speed">'1-参数配置'!$C$20</definedName>
    <definedName name="rv_power_consumption">'1-参数配置'!$B$22</definedName>
    <definedName name="trad_power_consumption">'1-参数配置'!$C$22</definedName>
    <definedName name="rv_electricity_price">'1-参数配置'!$B$23</definedName>
    <definedName name="trad_electricity_price">'1-参数配置'!$C$23</definedName>
    <definedName name="route_distance">'1-参数配置'!$B$25</definedName>
    <definedName name="items_per_trip">'1-参数配置'!$B$26</definedName>
    <definedName name="price_per_km">'1-参数配置'!$B$28</definedName>
    <definedName name="price_per_item">'1-参数配置'!$B$29</definedName>
    <definedName name="rv_labor_cost">'1-参数配置'!$B$33</definedName>
    <definedName name="trad_labor_cost">'1-参数配置'!$C$33</definedName>
    <definedName name="rv_software_cost">'1-参数配置'!$B$34</definedName>
    <definedName name="trad_software_cost">'1-参数配置'!$C$34</definedName>
    <definedName name="rv_insurance">'1-参数配置'!$B$35</definedName>
    <definedName name="trad_insurance">'1-参数配置'!$C$35</definedName>
    <definedName name="rv_maintenance">'1-参数配置'!$B$36</definedName>
    <definedName name="trad_maintenance">'1-参数配置'!$C$36</definedName>
    <definedName name="rv_other_cost">'1-参数配置'!$B$37</definedName>
    <definedName name="trad_other_cost">'1-参数配置'!$C$37</definedName>
    <definedName name="mfg_sales_scale">'1-参数配置'!$B$41</definedName>
    <definedName name="mfg_rd_fixed">'1-参数配置'!$B$42</definedName>
    <definedName name="mfg_rd_marginal">'1-参数配置'!$B$43</definedName>
    <definedName name="mfg_rd_total">'1-参数配置'!$B$44</definedName>
    <definedName name="mfg_rd_per_vehicle">'1-参数配置'!$B$45</definedName>
    <definedName name="mfg_bom_cost">'1-参数配置'!$B$47</definedName>
    <definedName name="mfg_production_cost">'1-参数配置'!$B$48</definedName>
    <definedName name="mfg_sales_rate">'1-参数配置'!$B$50</definedName>
    <definedName name="mfg_subscription_margin">'1-参数配置'!$B$51</definedName>
    <definedName name="mfg_opex_rate">'1-参数配置'!$B$52</definedName>
    <definedName name="mon_fixed_cost">'1-参数配置'!$B$56</definedName>
    <definedName name="mon_salary">'1-参数配置'!$B$57</definedName>
    <definedName name="mon_ratio">'1-参数配置'!$B$58</definedName>
    <definedName name="mon_staff_count">'1-参数配置'!$B$59</definedName>
    <definedName name="mon_total_cost">'1-参数配置'!$B$60</definedName>
    <definedName name="mon_cost_per_vehicle">'1-参数配置'!$B$61</definedName>
    <definedName name="buy_total_price">'1-参数配置'!$B$65</definedName>
    <definedName name="buy_lifecycle">'1-参数配置'!$B$66</definedName>
    <definedName name="buy_residual">'1-参数配置'!$B$67</definedName>
    <definedName name="buy_support_fee">'1-参数配置'!$B$68</definedName>
    <definedName name="buy_labor_cost">'1-参数配置'!$B$69</definedName>
    <definedName name="buy_insurance">'1-参数配置'!$B$70</definedName>
    <definedName name="buy_maintenance">'1-参数配置'!$B$71</definedName>
    <definedName name="buy_other_cost">'1-参数配置'!$B$72</definedName>
    <definedName name="rv_initial_cost">'2-运营商-订阅模式'!$B$5</definedName>
    <definedName name="rv_daily_km">'2-运营商-订阅模式'!$B$11</definedName>
    <definedName name="rv_annual_km">'2-运营商-订阅模式'!$B$12</definedName>
    <definedName name="rv_lifecycle_km">'2-运营商-订阅模式'!$B$13</definedName>
    <definedName name="rv_annual_cost">'2-运营商-订阅模式'!$B$22</definedName>
    <definedName name="rv_tco_total">'2-运营商-订阅模式'!$B$27</definedName>
    <definedName name="rv_cost_per_km">'2-运营商-订阅模式'!$B$30</definedName>
    <definedName name="rv_cost_per_hour">'2-运营商-订阅模式'!$B$31</definedName>
    <definedName name="rv_cost_per_trip">'2-运营商-订阅模式'!$B$32</definedName>
    <definedName name="rv_cost_per_item">'2-运营商-订阅模式'!$B$33</definedName>
    <definedName name="trad_initial_cost">'3-运营商-人驾轻卡'!$B$5</definedName>
    <definedName name="trad_daily_km">'3-运营商-人驾轻卡'!$B$11</definedName>
    <definedName name="trad_annual_km">'3-运营商-人驾轻卡'!$B$12</definedName>
    <definedName name="trad_lifecycle_km">'3-运营商-人驾轻卡'!$B$13</definedName>
    <definedName name="trad_annual_cost">'3-运营商-人驾轻卡'!$B$22</definedName>
    <definedName name="trad_tco_total">'3-运营商-人驾轻卡'!$B$27</definedName>
    <definedName name="trad_cost_per_km">'3-运营商-人驾轻卡'!$B$30</definedName>
    <definedName name="trad_cost_per_hour">'3-运营商-人驾轻卡'!$B$31</definedName>
    <definedName name="trad_cost_per_trip">'3-运营商-人驾轻卡'!$B$32</definedName>
    <definedName name="trad_cost_per_item">'3-运营商-人驾轻卡'!$B$33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"/>
    <numFmt numFmtId="166" formatCode="0.0%"/>
  </numFmts>
  <fonts count="1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0000"/>
      <sz val="11"/>
    </font>
    <font>
      <i val="1"/>
      <color rgb="000066CC"/>
      <sz val="10"/>
    </font>
    <font>
      <b val="1"/>
      <color rgb="00FFFFFF"/>
      <sz val="11"/>
    </font>
    <font>
      <b val="1"/>
      <sz val="10"/>
    </font>
    <font>
      <b val="1"/>
      <color rgb="000000FF"/>
      <sz val="10"/>
    </font>
    <font>
      <b val="1"/>
      <color rgb="000066CC"/>
      <sz val="10"/>
    </font>
    <font>
      <i val="1"/>
      <color rgb="00666666"/>
      <sz val="9"/>
    </font>
    <font>
      <b val="1"/>
      <color rgb="00FF0000"/>
      <sz val="12"/>
    </font>
    <font>
      <b val="1"/>
      <sz val="11"/>
    </font>
    <font>
      <b val="1"/>
      <color rgb="00008000"/>
      <sz val="11"/>
    </font>
    <font>
      <b val="1"/>
      <color rgb="000066CC"/>
      <sz val="11"/>
    </font>
    <font>
      <b val="1"/>
      <color rgb="000066CC"/>
      <sz val="12"/>
    </font>
    <font>
      <b val="1"/>
      <color rgb="00008000"/>
    </font>
    <font>
      <b val="1"/>
      <color rgb="00FF0000"/>
    </font>
    <font>
      <b val="1"/>
      <color rgb="00008000"/>
      <sz val="10"/>
    </font>
    <font>
      <b val="1"/>
      <color rgb="00FF66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/>
    </xf>
    <xf numFmtId="0" fontId="7" fillId="5" borderId="0" pivotButton="0" quotePrefix="0" xfId="0"/>
    <xf numFmtId="3" fontId="7" fillId="5" borderId="0" pivotButton="0" quotePrefix="0" xfId="0"/>
    <xf numFmtId="3" fontId="4" fillId="6" borderId="0" pivotButton="0" quotePrefix="0" xfId="0"/>
    <xf numFmtId="9" fontId="7" fillId="5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3" fontId="3" fillId="0" borderId="0" pivotButton="0" quotePrefix="0" xfId="0"/>
    <xf numFmtId="3" fontId="10" fillId="7" borderId="0" pivotButton="0" quotePrefix="0" xfId="0"/>
    <xf numFmtId="2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3" fontId="0" fillId="8" borderId="0" pivotButton="0" quotePrefix="0" xfId="0"/>
    <xf numFmtId="3" fontId="0" fillId="0" borderId="0" pivotButton="0" quotePrefix="0" xfId="0"/>
    <xf numFmtId="166" fontId="0" fillId="0" borderId="0" pivotButton="0" quotePrefix="0" xfId="0"/>
    <xf numFmtId="3" fontId="11" fillId="8" borderId="0" pivotButton="0" quotePrefix="0" xfId="0"/>
    <xf numFmtId="3" fontId="11" fillId="0" borderId="0" pivotButton="0" quotePrefix="0" xfId="0"/>
    <xf numFmtId="2" fontId="0" fillId="8" borderId="0" pivotButton="0" quotePrefix="0" xfId="0"/>
    <xf numFmtId="2" fontId="0" fillId="0" borderId="0" pivotButton="0" quotePrefix="0" xfId="0"/>
    <xf numFmtId="165" fontId="0" fillId="8" borderId="0" pivotButton="0" quotePrefix="0" xfId="0"/>
    <xf numFmtId="165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3" fontId="12" fillId="0" borderId="0" pivotButton="0" quotePrefix="0" xfId="0"/>
    <xf numFmtId="3" fontId="14" fillId="7" borderId="0" pivotButton="0" quotePrefix="0" xfId="0"/>
    <xf numFmtId="3" fontId="10" fillId="9" borderId="0" pivotButton="0" quotePrefix="0" xfId="0"/>
    <xf numFmtId="3" fontId="15" fillId="0" borderId="0" pivotButton="0" quotePrefix="0" xfId="0"/>
    <xf numFmtId="166" fontId="15" fillId="0" borderId="0" pivotButton="0" quotePrefix="0" xfId="0"/>
    <xf numFmtId="3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35" customWidth="1" min="5" max="5"/>
  </cols>
  <sheetData>
    <row r="1" ht="30" customHeight="1">
      <c r="A1" s="1" t="inlineStr">
        <is>
          <t>Robovan商业模式分析 v4.0 - 参数配置（核心修复版）</t>
        </is>
      </c>
    </row>
    <row r="2">
      <c r="A2" s="2" t="inlineStr">
        <is>
          <t>生成日期：2025-11-12 15:47:03</t>
        </is>
      </c>
    </row>
    <row r="3">
      <c r="A3" s="3" t="inlineStr">
        <is>
          <t>⭐ 黄色=可修改，绿色=自动计算，所有Sheet通过命名范围实时更新</t>
        </is>
      </c>
    </row>
    <row r="4">
      <c r="A4" s="4" t="inlineStr">
        <is>
          <t>📊 v4.0优化：扩展Named Ranges到计算结果，格式统一，代码重构</t>
        </is>
      </c>
    </row>
    <row r="6">
      <c r="A6" s="5" t="inlineStr">
        <is>
          <t>【A区】车辆基本参数</t>
        </is>
      </c>
    </row>
    <row r="7">
      <c r="A7" s="6" t="inlineStr">
        <is>
          <t>参数项</t>
        </is>
      </c>
      <c r="B7" s="6" t="inlineStr">
        <is>
          <t>无人车(订阅)</t>
        </is>
      </c>
      <c r="C7" s="6" t="inlineStr">
        <is>
          <t>人驾电动轻卡</t>
        </is>
      </c>
      <c r="D7" s="6" t="inlineStr">
        <is>
          <t>单位</t>
        </is>
      </c>
      <c r="E7" s="6" t="inlineStr">
        <is>
          <t>说明/假设依据</t>
        </is>
      </c>
    </row>
    <row r="8">
      <c r="A8" t="inlineStr">
        <is>
          <t>车型</t>
        </is>
      </c>
      <c r="B8" t="inlineStr">
        <is>
          <t>九识Z8长续航版</t>
        </is>
      </c>
      <c r="C8" t="inlineStr">
        <is>
          <t>远程星享V6E/福田智蓝</t>
        </is>
      </c>
      <c r="D8" t="inlineStr">
        <is>
          <t>-</t>
        </is>
      </c>
      <c r="E8" t="inlineStr">
        <is>
          <t>九识Z8 vs 远程V6E/福田智蓝</t>
        </is>
      </c>
    </row>
    <row r="9">
      <c r="A9" t="inlineStr">
        <is>
          <t>运力</t>
        </is>
      </c>
      <c r="B9" s="7" t="n">
        <v>8</v>
      </c>
      <c r="C9" s="7" t="n">
        <v>7</v>
      </c>
      <c r="D9" t="inlineStr">
        <is>
          <t>m³</t>
        </is>
      </c>
      <c r="E9" t="inlineStr">
        <is>
          <t>官方参数：8m³ vs 7m³</t>
        </is>
      </c>
    </row>
    <row r="10">
      <c r="A10" t="inlineStr">
        <is>
          <t>车辆采购成本</t>
        </is>
      </c>
      <c r="B10" s="8" t="n">
        <v>79800</v>
      </c>
      <c r="C10" s="8" t="n">
        <v>145000</v>
      </c>
      <c r="D10" t="inlineStr">
        <is>
          <t>元</t>
        </is>
      </c>
      <c r="E10" t="inlineStr">
        <is>
          <t>官网价：79,800 vs 145,000</t>
        </is>
      </c>
    </row>
    <row r="11">
      <c r="A11" t="inlineStr">
        <is>
          <t>电池容量</t>
        </is>
      </c>
      <c r="B11" s="7" t="n">
        <v>46</v>
      </c>
      <c r="C11" s="7" t="n">
        <v>35.2</v>
      </c>
      <c r="D11" t="inlineStr">
        <is>
          <t>kWh</t>
        </is>
      </c>
      <c r="E11" t="inlineStr">
        <is>
          <t>CLTC工况</t>
        </is>
      </c>
    </row>
    <row r="12">
      <c r="A12" t="inlineStr">
        <is>
          <t>续航里程</t>
        </is>
      </c>
      <c r="B12" s="8" t="n">
        <v>260</v>
      </c>
      <c r="C12" s="8" t="n">
        <v>260</v>
      </c>
      <c r="D12" t="inlineStr">
        <is>
          <t>km</t>
        </is>
      </c>
      <c r="E12" t="inlineStr">
        <is>
          <t>CLTC工况</t>
        </is>
      </c>
    </row>
    <row r="13">
      <c r="A13" t="inlineStr">
        <is>
          <t>生命周期</t>
        </is>
      </c>
      <c r="B13" s="7" t="n">
        <v>6</v>
      </c>
      <c r="C13" s="7" t="n">
        <v>7</v>
      </c>
      <c r="D13" t="inlineStr">
        <is>
          <t>年</t>
        </is>
      </c>
      <c r="E13" t="inlineStr">
        <is>
          <t>⭐ 6年vs7年（电子器件vs机械部件）</t>
        </is>
      </c>
    </row>
    <row r="14">
      <c r="A14" t="inlineStr">
        <is>
          <t>残值</t>
        </is>
      </c>
      <c r="B14" s="8" t="n">
        <v>30000</v>
      </c>
      <c r="C14" s="8" t="n">
        <v>22000</v>
      </c>
      <c r="D14" t="inlineStr">
        <is>
          <t>元</t>
        </is>
      </c>
      <c r="E14" t="inlineStr">
        <is>
          <t>约购车成本38% vs 15%</t>
        </is>
      </c>
    </row>
    <row r="16">
      <c r="A16" s="5" t="inlineStr">
        <is>
          <t>【B区】运营参数</t>
        </is>
      </c>
    </row>
    <row r="17">
      <c r="A17" s="6" t="inlineStr">
        <is>
          <t>参数项</t>
        </is>
      </c>
      <c r="B17" s="6" t="inlineStr">
        <is>
          <t>无人车(订阅)</t>
        </is>
      </c>
      <c r="C17" s="6" t="inlineStr">
        <is>
          <t>人驾电动轻卡</t>
        </is>
      </c>
      <c r="D17" s="6" t="inlineStr">
        <is>
          <t>单位</t>
        </is>
      </c>
      <c r="E17" s="6" t="inlineStr">
        <is>
          <t>说明/假设依据</t>
        </is>
      </c>
    </row>
    <row r="18">
      <c r="A18" t="inlineStr">
        <is>
          <t>年运营天数</t>
        </is>
      </c>
      <c r="B18" s="7" t="n">
        <v>350</v>
      </c>
      <c r="C18" s="7" t="n">
        <v>330</v>
      </c>
      <c r="D18" t="inlineStr">
        <is>
          <t>天</t>
        </is>
      </c>
      <c r="E18" t="inlineStr">
        <is>
          <t>350天 vs 330天（法定假日）</t>
        </is>
      </c>
    </row>
    <row r="19">
      <c r="A19" t="inlineStr">
        <is>
          <t>日有效运营时长</t>
        </is>
      </c>
      <c r="B19" s="7" t="n">
        <v>10</v>
      </c>
      <c r="C19" s="7" t="n">
        <v>8</v>
      </c>
      <c r="D19" t="inlineStr">
        <is>
          <t>小时</t>
        </is>
      </c>
      <c r="E19" t="inlineStr">
        <is>
          <t>10h vs 8h（司机工作制）</t>
        </is>
      </c>
    </row>
    <row r="20">
      <c r="A20" t="inlineStr">
        <is>
          <t>平均运营时速</t>
        </is>
      </c>
      <c r="B20" s="7" t="n">
        <v>25</v>
      </c>
      <c r="C20" s="7" t="n">
        <v>28</v>
      </c>
      <c r="D20" t="inlineStr">
        <is>
          <t>km/h</t>
        </is>
      </c>
      <c r="E20" t="inlineStr">
        <is>
          <t>25 vs 28（保守vs经验）</t>
        </is>
      </c>
    </row>
    <row r="22">
      <c r="A22" t="inlineStr">
        <is>
          <t>百公里电耗</t>
        </is>
      </c>
      <c r="B22" s="7" t="n">
        <v>17.7</v>
      </c>
      <c r="C22" s="7" t="n">
        <v>15</v>
      </c>
      <c r="D22" t="inlineStr">
        <is>
          <t>kWh/100km</t>
        </is>
      </c>
      <c r="E22" t="inlineStr">
        <is>
          <t>17.7 vs 15.0（传感器耗电）</t>
        </is>
      </c>
    </row>
    <row r="23">
      <c r="A23" t="inlineStr">
        <is>
          <t>电价</t>
        </is>
      </c>
      <c r="B23" s="7" t="n">
        <v>0.8</v>
      </c>
      <c r="C23" s="7" t="n">
        <v>0.8</v>
      </c>
      <c r="D23" t="inlineStr">
        <is>
          <t>元/kWh</t>
        </is>
      </c>
      <c r="E23" t="inlineStr">
        <is>
          <t>工业用电峰谷混合</t>
        </is>
      </c>
    </row>
    <row r="25">
      <c r="A25" t="inlineStr">
        <is>
          <t>单次往返里程</t>
        </is>
      </c>
      <c r="B25" s="7" t="n">
        <v>50</v>
      </c>
      <c r="D25" t="inlineStr">
        <is>
          <t>km</t>
        </is>
      </c>
      <c r="E25" t="inlineStr">
        <is>
          <t>仓库↔配送中心</t>
        </is>
      </c>
    </row>
    <row r="26">
      <c r="A26" t="inlineStr">
        <is>
          <t>单次满载件数</t>
        </is>
      </c>
      <c r="B26" s="7" t="n">
        <v>500</v>
      </c>
      <c r="D26" t="inlineStr">
        <is>
          <t>件</t>
        </is>
      </c>
      <c r="E26" t="inlineStr">
        <is>
          <t>8m³标准包裹（500件）</t>
        </is>
      </c>
    </row>
    <row r="28">
      <c r="A28" t="inlineStr">
        <is>
          <t>按公里收费</t>
        </is>
      </c>
      <c r="B28" s="7" t="n">
        <v>4.5</v>
      </c>
      <c r="D28" t="inlineStr">
        <is>
          <t>元/km</t>
        </is>
      </c>
      <c r="E28" t="inlineStr">
        <is>
          <t>短途货运市场价（外部市场价）</t>
        </is>
      </c>
    </row>
    <row r="29">
      <c r="A29" t="inlineStr">
        <is>
          <t>按件收费</t>
        </is>
      </c>
      <c r="B29" s="7" t="n">
        <v>0.3</v>
      </c>
      <c r="D29" t="inlineStr">
        <is>
          <t>元/件</t>
        </is>
      </c>
      <c r="E29" t="inlineStr">
        <is>
          <t>城市配送标准（外部市场价）</t>
        </is>
      </c>
    </row>
    <row r="31">
      <c r="A31" s="5" t="inlineStr">
        <is>
          <t>【C区】运营商年度成本参数</t>
        </is>
      </c>
    </row>
    <row r="32">
      <c r="A32" s="6" t="inlineStr">
        <is>
          <t>参数项</t>
        </is>
      </c>
      <c r="B32" s="6" t="inlineStr">
        <is>
          <t>无人车(订阅)</t>
        </is>
      </c>
      <c r="C32" s="6" t="inlineStr">
        <is>
          <t>人驾电动轻卡</t>
        </is>
      </c>
      <c r="D32" s="6" t="inlineStr">
        <is>
          <t>单位</t>
        </is>
      </c>
      <c r="E32" s="6" t="inlineStr">
        <is>
          <t>说明/假设依据</t>
        </is>
      </c>
    </row>
    <row r="33">
      <c r="A33" t="inlineStr">
        <is>
          <t>人力成本</t>
        </is>
      </c>
      <c r="B33" s="8" t="n">
        <v>1000</v>
      </c>
      <c r="C33" s="8" t="n">
        <v>110000</v>
      </c>
      <c r="D33" t="inlineStr">
        <is>
          <t>元/年</t>
        </is>
      </c>
      <c r="E33" t="inlineStr">
        <is>
          <t>1K vs 110K（远程1:100 vs 司机全职）</t>
        </is>
      </c>
    </row>
    <row r="34">
      <c r="A34" t="inlineStr">
        <is>
          <t>软件订阅费</t>
        </is>
      </c>
      <c r="B34" s="8" t="n">
        <v>34000</v>
      </c>
      <c r="C34" s="8" t="n">
        <v>0</v>
      </c>
      <c r="D34" t="inlineStr">
        <is>
          <t>元/年</t>
        </is>
      </c>
      <c r="E34" t="inlineStr">
        <is>
          <t>34K vs 0（智驾系统订阅）</t>
        </is>
      </c>
    </row>
    <row r="35">
      <c r="A35" t="inlineStr">
        <is>
          <t>保险费用</t>
        </is>
      </c>
      <c r="B35" s="8" t="n">
        <v>9000</v>
      </c>
      <c r="C35" s="8" t="n">
        <v>12000</v>
      </c>
      <c r="D35" t="inlineStr">
        <is>
          <t>元/年</t>
        </is>
      </c>
      <c r="E35" t="inlineStr">
        <is>
          <t>9K vs 12K（营运车辆）</t>
        </is>
      </c>
    </row>
    <row r="36">
      <c r="A36" t="inlineStr">
        <is>
          <t>维保成本</t>
        </is>
      </c>
      <c r="B36" s="8" t="n">
        <v>8000</v>
      </c>
      <c r="C36" s="8" t="n">
        <v>7000</v>
      </c>
      <c r="D36" t="inlineStr">
        <is>
          <t>元/年</t>
        </is>
      </c>
      <c r="E36" t="inlineStr">
        <is>
          <t>8K vs 7K（传感器维护）</t>
        </is>
      </c>
    </row>
    <row r="37">
      <c r="A37" t="inlineStr">
        <is>
          <t>其他成本</t>
        </is>
      </c>
      <c r="B37" s="8" t="n">
        <v>3000</v>
      </c>
      <c r="C37" s="8" t="n">
        <v>5000</v>
      </c>
      <c r="D37" t="inlineStr">
        <is>
          <t>元/年</t>
        </is>
      </c>
      <c r="E37" t="inlineStr">
        <is>
          <t>3K vs 5K（停车、充电等）</t>
        </is>
      </c>
    </row>
    <row r="39">
      <c r="A39" s="5" t="inlineStr">
        <is>
          <t>【D区】厂商成本参数（v3.0新增，v4.0格式优化）</t>
        </is>
      </c>
    </row>
    <row r="40">
      <c r="A40" s="6" t="inlineStr">
        <is>
          <t>参数项</t>
        </is>
      </c>
      <c r="B40" s="6" t="inlineStr">
        <is>
          <t>数值</t>
        </is>
      </c>
      <c r="C40" s="6" t="inlineStr">
        <is>
          <t>单位</t>
        </is>
      </c>
      <c r="D40" s="6" t="inlineStr">
        <is>
          <t>说明/假设依据</t>
        </is>
      </c>
    </row>
    <row r="41">
      <c r="A41" t="inlineStr">
        <is>
          <t>销售规模</t>
        </is>
      </c>
      <c r="B41" s="8" t="n">
        <v>1000</v>
      </c>
      <c r="C41" t="inlineStr">
        <is>
          <t>台</t>
        </is>
      </c>
      <c r="D41" t="inlineStr">
        <is>
          <t>当前假设中等规模</t>
        </is>
      </c>
    </row>
    <row r="42">
      <c r="A42" t="inlineStr">
        <is>
          <t>固定研发投入</t>
        </is>
      </c>
      <c r="B42" s="8" t="n">
        <v>380000000</v>
      </c>
      <c r="C42" t="inlineStr">
        <is>
          <t>元</t>
        </is>
      </c>
      <c r="D42" t="inlineStr">
        <is>
          <t>平台和算法开发（3.8亿）</t>
        </is>
      </c>
    </row>
    <row r="43">
      <c r="A43" t="inlineStr">
        <is>
          <t>单车边际研发</t>
        </is>
      </c>
      <c r="B43" s="8" t="n">
        <v>3000</v>
      </c>
      <c r="C43" t="inlineStr">
        <is>
          <t>元/台</t>
        </is>
      </c>
      <c r="D43" t="inlineStr">
        <is>
          <t>单车场景适配（3千）</t>
        </is>
      </c>
    </row>
    <row r="44">
      <c r="A44" t="inlineStr">
        <is>
          <t>总研发投入</t>
        </is>
      </c>
      <c r="B44" s="9">
        <f>mfg_rd_fixed+mfg_rd_marginal*mfg_sales_scale</f>
        <v/>
      </c>
      <c r="C44" t="inlineStr">
        <is>
          <t>元</t>
        </is>
      </c>
      <c r="D44">
        <f>固定+边际×规模</f>
        <v/>
      </c>
    </row>
    <row r="45">
      <c r="A45" t="inlineStr">
        <is>
          <t>单车研发分摊</t>
        </is>
      </c>
      <c r="B45" s="9">
        <f>mfg_rd_total/mfg_sales_scale</f>
        <v/>
      </c>
      <c r="C45" t="inlineStr">
        <is>
          <t>元/台</t>
        </is>
      </c>
      <c r="D45">
        <f>总研发÷规模（规模效应）</f>
        <v/>
      </c>
    </row>
    <row r="47">
      <c r="A47" t="inlineStr">
        <is>
          <t>硬件BOM成本</t>
        </is>
      </c>
      <c r="B47" s="8" t="n">
        <v>40000</v>
      </c>
      <c r="C47" t="inlineStr">
        <is>
          <t>元/台</t>
        </is>
      </c>
      <c r="D47" t="inlineStr">
        <is>
          <t>雷达、传感器、车体、电池</t>
        </is>
      </c>
    </row>
    <row r="48">
      <c r="A48" t="inlineStr">
        <is>
          <t>生产制造成本</t>
        </is>
      </c>
      <c r="B48" s="8" t="n">
        <v>10000</v>
      </c>
      <c r="C48" t="inlineStr">
        <is>
          <t>元/台</t>
        </is>
      </c>
      <c r="D48" t="inlineStr">
        <is>
          <t>组装、测试、质检</t>
        </is>
      </c>
    </row>
    <row r="50">
      <c r="A50" t="inlineStr">
        <is>
          <t>销售费用率</t>
        </is>
      </c>
      <c r="B50" s="10" t="n">
        <v>0.12</v>
      </c>
      <c r="C50" t="inlineStr">
        <is>
          <t>%</t>
        </is>
      </c>
      <c r="D50" t="inlineStr">
        <is>
          <t>占收入比例</t>
        </is>
      </c>
    </row>
    <row r="51">
      <c r="A51" t="inlineStr">
        <is>
          <t>软件订阅毛利率</t>
        </is>
      </c>
      <c r="B51" s="10" t="n">
        <v>0.6</v>
      </c>
      <c r="C51" t="inlineStr">
        <is>
          <t>%</t>
        </is>
      </c>
      <c r="D51" t="inlineStr">
        <is>
          <t>订阅收入-运维成本</t>
        </is>
      </c>
    </row>
    <row r="52">
      <c r="A52" t="inlineStr">
        <is>
          <t>软件运维成本率</t>
        </is>
      </c>
      <c r="B52" s="10" t="n">
        <v>0.4</v>
      </c>
      <c r="C52" t="inlineStr">
        <is>
          <t>%</t>
        </is>
      </c>
      <c r="D52" t="inlineStr">
        <is>
          <t>占订阅收入比例</t>
        </is>
      </c>
    </row>
    <row r="54">
      <c r="A54" s="5" t="inlineStr">
        <is>
          <t>【E区】远程监控参数（v3.0新增，v4.0格式优化）</t>
        </is>
      </c>
    </row>
    <row r="55">
      <c r="A55" s="6" t="inlineStr">
        <is>
          <t>参数项</t>
        </is>
      </c>
      <c r="B55" s="6" t="inlineStr">
        <is>
          <t>数值</t>
        </is>
      </c>
      <c r="C55" s="6" t="inlineStr">
        <is>
          <t>单位</t>
        </is>
      </c>
      <c r="D55" s="6" t="inlineStr">
        <is>
          <t>说明/假设依据</t>
        </is>
      </c>
    </row>
    <row r="56">
      <c r="A56" t="inlineStr">
        <is>
          <t>监控中心年固定成本</t>
        </is>
      </c>
      <c r="B56" s="8" t="n">
        <v>5000000</v>
      </c>
      <c r="C56" t="inlineStr">
        <is>
          <t>元/年</t>
        </is>
      </c>
      <c r="D56" t="inlineStr">
        <is>
          <t>租金、系统、管理人员（500万）</t>
        </is>
      </c>
    </row>
    <row r="57">
      <c r="A57" t="inlineStr">
        <is>
          <t>安全员年薪</t>
        </is>
      </c>
      <c r="B57" s="8" t="n">
        <v>120000</v>
      </c>
      <c r="C57" t="inlineStr">
        <is>
          <t>元/年</t>
        </is>
      </c>
      <c r="D57" t="inlineStr">
        <is>
          <t>一线城市监控员（12万）</t>
        </is>
      </c>
    </row>
    <row r="58">
      <c r="A58" t="inlineStr">
        <is>
          <t>安全员配比</t>
        </is>
      </c>
      <c r="B58" s="7" t="n">
        <v>20</v>
      </c>
      <c r="C58" t="inlineStr">
        <is>
          <t>车/人</t>
        </is>
      </c>
      <c r="D58" t="inlineStr">
        <is>
          <t>成熟期1:20，初期1:5，极限1:50</t>
        </is>
      </c>
    </row>
    <row r="59">
      <c r="A59" t="inlineStr">
        <is>
          <t>需要安全员数</t>
        </is>
      </c>
      <c r="B59" s="9">
        <f>mfg_sales_scale/mon_ratio</f>
        <v/>
      </c>
      <c r="C59" t="inlineStr">
        <is>
          <t>人</t>
        </is>
      </c>
      <c r="D59">
        <f>规模÷配比</f>
        <v/>
      </c>
    </row>
    <row r="60">
      <c r="A60" t="inlineStr">
        <is>
          <t>监控中心年度总成本</t>
        </is>
      </c>
      <c r="B60" s="9">
        <f>mon_fixed_cost+mon_staff_count*mon_salary</f>
        <v/>
      </c>
      <c r="C60" t="inlineStr">
        <is>
          <t>元/年</t>
        </is>
      </c>
      <c r="D60">
        <f>固定成本+人数×年薪</f>
        <v/>
      </c>
    </row>
    <row r="61">
      <c r="A61" t="inlineStr">
        <is>
          <t>单车年度监控成本</t>
        </is>
      </c>
      <c r="B61" s="9">
        <f>mon_total_cost/mfg_sales_scale</f>
        <v/>
      </c>
      <c r="C61" t="inlineStr">
        <is>
          <t>元/台/年</t>
        </is>
      </c>
      <c r="D61">
        <f>总成本÷规模（规模效应）</f>
        <v/>
      </c>
    </row>
    <row r="63">
      <c r="A63" s="5" t="inlineStr">
        <is>
          <t>【F区】一次性买断模式（v3.0新增，v4.0格式优化）</t>
        </is>
      </c>
    </row>
    <row r="64">
      <c r="A64" s="6" t="inlineStr">
        <is>
          <t>参数项</t>
        </is>
      </c>
      <c r="B64" s="6" t="inlineStr">
        <is>
          <t>数值</t>
        </is>
      </c>
      <c r="C64" s="6" t="inlineStr">
        <is>
          <t>单位</t>
        </is>
      </c>
      <c r="D64" s="6" t="inlineStr">
        <is>
          <t>说明/假设依据</t>
        </is>
      </c>
    </row>
    <row r="65">
      <c r="A65" t="inlineStr">
        <is>
          <t>车辆加软件总价</t>
        </is>
      </c>
      <c r="B65" s="8" t="n">
        <v>160000</v>
      </c>
      <c r="C65" t="inlineStr">
        <is>
          <t>元</t>
        </is>
      </c>
      <c r="D65" t="inlineStr">
        <is>
          <t>vs订阅79,800（含软件永久使用权）</t>
        </is>
      </c>
    </row>
    <row r="66">
      <c r="A66" t="inlineStr">
        <is>
          <t>生命周期</t>
        </is>
      </c>
      <c r="B66" s="7" t="n">
        <v>6</v>
      </c>
      <c r="C66" t="inlineStr">
        <is>
          <t>年</t>
        </is>
      </c>
      <c r="D66" t="inlineStr">
        <is>
          <t>同订阅模式6年</t>
        </is>
      </c>
    </row>
    <row r="67">
      <c r="A67" t="inlineStr">
        <is>
          <t>残值</t>
        </is>
      </c>
      <c r="B67" s="8" t="n">
        <v>33000</v>
      </c>
      <c r="C67" t="inlineStr">
        <is>
          <t>元</t>
        </is>
      </c>
      <c r="D67" t="inlineStr">
        <is>
          <t>+3000元系统价值</t>
        </is>
      </c>
    </row>
    <row r="68">
      <c r="A68" t="inlineStr">
        <is>
          <t>技术支持费</t>
        </is>
      </c>
      <c r="B68" s="8" t="n">
        <v>5000</v>
      </c>
      <c r="C68" t="inlineStr">
        <is>
          <t>元/年</t>
        </is>
      </c>
      <c r="D68" t="inlineStr">
        <is>
          <t>买断后单独支付</t>
        </is>
      </c>
    </row>
    <row r="69">
      <c r="A69" t="inlineStr">
        <is>
          <t>人力成本</t>
        </is>
      </c>
      <c r="B69" s="8" t="n">
        <v>1000</v>
      </c>
      <c r="C69" t="inlineStr">
        <is>
          <t>元/年</t>
        </is>
      </c>
      <c r="D69" t="inlineStr">
        <is>
          <t>同订阅模式</t>
        </is>
      </c>
    </row>
    <row r="70">
      <c r="A70" t="inlineStr">
        <is>
          <t>保险费用</t>
        </is>
      </c>
      <c r="B70" s="8" t="n">
        <v>9000</v>
      </c>
      <c r="C70" t="inlineStr">
        <is>
          <t>元/年</t>
        </is>
      </c>
      <c r="D70" t="inlineStr">
        <is>
          <t>同订阅模式</t>
        </is>
      </c>
    </row>
    <row r="71">
      <c r="A71" t="inlineStr">
        <is>
          <t>维保成本</t>
        </is>
      </c>
      <c r="B71" s="8" t="n">
        <v>8000</v>
      </c>
      <c r="C71" t="inlineStr">
        <is>
          <t>元/年</t>
        </is>
      </c>
      <c r="D71" t="inlineStr">
        <is>
          <t>同订阅模式</t>
        </is>
      </c>
    </row>
    <row r="72">
      <c r="A72" t="inlineStr">
        <is>
          <t>其他成本</t>
        </is>
      </c>
      <c r="B72" s="8" t="n">
        <v>3000</v>
      </c>
      <c r="C72" t="inlineStr">
        <is>
          <t>元/年</t>
        </is>
      </c>
      <c r="D72" t="inlineStr">
        <is>
          <t>同订阅模式</t>
        </is>
      </c>
    </row>
  </sheetData>
  <mergeCells count="7">
    <mergeCell ref="A39:E39"/>
    <mergeCell ref="A16:E16"/>
    <mergeCell ref="A54:E54"/>
    <mergeCell ref="A63:E63"/>
    <mergeCell ref="A1:E1"/>
    <mergeCell ref="A31:E3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 ht="25" customHeight="1">
      <c r="A1" s="1" t="inlineStr">
        <is>
          <t>Robovan商业模式分析 v4.0 - 运营商视角（订阅模式6年TCO）</t>
        </is>
      </c>
    </row>
    <row r="2">
      <c r="A2" s="4" t="inlineStr">
        <is>
          <t>📌 使用命名范围+通用方法生成，所有结果都有Named Range</t>
        </is>
      </c>
    </row>
    <row r="4">
      <c r="A4" s="5" t="inlineStr">
        <is>
          <t>【一次性投资】</t>
        </is>
      </c>
    </row>
    <row r="5">
      <c r="A5" t="inlineStr">
        <is>
          <t>车辆采购成本</t>
        </is>
      </c>
      <c r="B5" s="11">
        <f>rv_price</f>
        <v/>
      </c>
      <c r="C5" s="12" t="inlineStr">
        <is>
          <t>引用参数表：购车成本</t>
        </is>
      </c>
    </row>
    <row r="7">
      <c r="A7" s="5" t="inlineStr">
        <is>
          <t>【运营指标（基于6年生命周期）】</t>
        </is>
      </c>
    </row>
    <row r="8">
      <c r="A8" t="inlineStr">
        <is>
          <t>年运营天数</t>
        </is>
      </c>
      <c r="B8" s="13">
        <f>rv_work_days</f>
        <v/>
      </c>
      <c r="C8" s="12" t="inlineStr">
        <is>
          <t>引用参数表：年运营天数</t>
        </is>
      </c>
    </row>
    <row r="9">
      <c r="A9" t="inlineStr">
        <is>
          <t>日运营时长</t>
        </is>
      </c>
      <c r="B9" s="13">
        <f>rv_work_hours</f>
        <v/>
      </c>
      <c r="C9" s="12" t="inlineStr">
        <is>
          <t>引用参数表：日有效运营时长（小时）</t>
        </is>
      </c>
    </row>
    <row r="10">
      <c r="A10" t="inlineStr">
        <is>
          <t>平均时速</t>
        </is>
      </c>
      <c r="B10" s="13">
        <f>rv_speed</f>
        <v/>
      </c>
      <c r="C10" s="12" t="inlineStr">
        <is>
          <t>引用参数表：平均运营时速（km/h）</t>
        </is>
      </c>
    </row>
    <row r="11">
      <c r="A11" t="inlineStr">
        <is>
          <t>日均行驶里程</t>
        </is>
      </c>
      <c r="B11" s="14">
        <f>rv_work_hours*rv_speed</f>
        <v/>
      </c>
      <c r="C11" s="12">
        <f>日运营时长 × 平均时速</f>
        <v/>
      </c>
    </row>
    <row r="12">
      <c r="A12" t="inlineStr">
        <is>
          <t>年行驶里程</t>
        </is>
      </c>
      <c r="B12" s="11">
        <f>rv_daily_km*rv_work_days</f>
        <v/>
      </c>
      <c r="C12" s="12">
        <f>日均里程 × 年运营天数</f>
        <v/>
      </c>
    </row>
    <row r="13">
      <c r="A13" t="inlineStr">
        <is>
          <t>6年总里程</t>
        </is>
      </c>
      <c r="B13" s="11">
        <f>rv_annual_km*rv_lifecycle</f>
        <v/>
      </c>
      <c r="C13" s="12">
        <f>年行驶里程 × 生命周期（6年）</f>
        <v/>
      </c>
    </row>
    <row r="15">
      <c r="A15" s="5" t="inlineStr">
        <is>
          <t>【年度成本结构】</t>
        </is>
      </c>
    </row>
    <row r="16">
      <c r="A16" t="inlineStr">
        <is>
          <t>人力成本</t>
        </is>
      </c>
      <c r="B16" s="11">
        <f>rv_labor_cost</f>
        <v/>
      </c>
      <c r="C16" s="12" t="inlineStr">
        <is>
          <t>引用参数表：年度人力成本</t>
        </is>
      </c>
    </row>
    <row r="17">
      <c r="A17" t="inlineStr">
        <is>
          <t>软件订阅费</t>
        </is>
      </c>
      <c r="B17" s="11">
        <f>rv_software_cost</f>
        <v/>
      </c>
      <c r="C17" s="12" t="inlineStr">
        <is>
          <t>引用参数表：智驾系统年订阅费</t>
        </is>
      </c>
    </row>
    <row r="18">
      <c r="A18" t="inlineStr">
        <is>
          <t>保险费用</t>
        </is>
      </c>
      <c r="B18" s="11">
        <f>rv_insurance</f>
        <v/>
      </c>
      <c r="C18" s="12" t="inlineStr">
        <is>
          <t>引用参数表：营运车辆保险</t>
        </is>
      </c>
    </row>
    <row r="19">
      <c r="A19" t="inlineStr">
        <is>
          <t>维保成本</t>
        </is>
      </c>
      <c r="B19" s="11">
        <f>rv_maintenance</f>
        <v/>
      </c>
      <c r="C19" s="12" t="inlineStr">
        <is>
          <t>引用参数表：定期保养费用</t>
        </is>
      </c>
    </row>
    <row r="20">
      <c r="A20" t="inlineStr">
        <is>
          <t>其他成本</t>
        </is>
      </c>
      <c r="B20" s="11">
        <f>rv_other_cost</f>
        <v/>
      </c>
      <c r="C20" s="12" t="inlineStr">
        <is>
          <t>引用参数表：杂项费用</t>
        </is>
      </c>
    </row>
    <row r="21">
      <c r="A21" t="inlineStr">
        <is>
          <t>能源成本（年）</t>
        </is>
      </c>
      <c r="B21" s="11">
        <f>rv_annual_km*(rv_power_consumption/100)*rv_electricity_price</f>
        <v/>
      </c>
      <c r="C21" s="12">
        <f>年里程 × (百公里电耗/100) × 电价</f>
        <v/>
      </c>
    </row>
    <row r="22">
      <c r="A22" t="inlineStr">
        <is>
          <t>年度总成本</t>
        </is>
      </c>
      <c r="B22" s="15">
        <f>SUM(B16:B21)</f>
        <v/>
      </c>
      <c r="C22" s="12">
        <f>上述各项年度成本总和</f>
        <v/>
      </c>
    </row>
    <row r="24">
      <c r="A24" s="5" t="inlineStr">
        <is>
          <t>【6年生命周期总成本（TCO）】</t>
        </is>
      </c>
    </row>
    <row r="25">
      <c r="A25" t="inlineStr">
        <is>
          <t>车辆净成本</t>
        </is>
      </c>
      <c r="B25" s="11">
        <f>rv_price-rv_residual</f>
        <v/>
      </c>
      <c r="C25" s="12">
        <f>购车成本 - 残值</f>
        <v/>
      </c>
    </row>
    <row r="26">
      <c r="A26" t="inlineStr">
        <is>
          <t>6年运营成本</t>
        </is>
      </c>
      <c r="B26" s="11">
        <f>rv_annual_cost*rv_lifecycle</f>
        <v/>
      </c>
      <c r="C26" s="12">
        <f>年度总成本 × 6年</f>
        <v/>
      </c>
    </row>
    <row r="27">
      <c r="A27" t="inlineStr">
        <is>
          <t>6年TCO总计</t>
        </is>
      </c>
      <c r="B27" s="16">
        <f>B25+B26</f>
        <v/>
      </c>
      <c r="C27" s="12">
        <f>车辆净成本 + 6年运营成本（⭐核心指标）</f>
        <v/>
      </c>
    </row>
    <row r="29">
      <c r="A29" s="5" t="inlineStr">
        <is>
          <t>【单位成本拆解】</t>
        </is>
      </c>
    </row>
    <row r="30">
      <c r="A30" t="inlineStr">
        <is>
          <t>每公里成本</t>
        </is>
      </c>
      <c r="B30" s="17">
        <f>rv_tco_total/rv_lifecycle_km</f>
        <v/>
      </c>
      <c r="C30" s="12">
        <f>6年TCO ÷ 6年总里程</f>
        <v/>
      </c>
    </row>
    <row r="31">
      <c r="A31" t="inlineStr">
        <is>
          <t>每小时成本</t>
        </is>
      </c>
      <c r="B31" s="17">
        <f>rv_tco_total/(rv_work_hours*rv_work_days*rv_lifecycle)</f>
        <v/>
      </c>
      <c r="C31" s="12">
        <f>6年TCO ÷ (时长×天数×6年)</f>
        <v/>
      </c>
    </row>
    <row r="32">
      <c r="A32" t="inlineStr">
        <is>
          <t>每趟成本</t>
        </is>
      </c>
      <c r="B32" s="17">
        <f>rv_tco_total/(rv_lifecycle_km/route_distance)</f>
        <v/>
      </c>
      <c r="C32" s="12">
        <f>6年TCO ÷ (总里程/单次往返里程)</f>
        <v/>
      </c>
    </row>
    <row r="33">
      <c r="A33" t="inlineStr">
        <is>
          <t>每件成本</t>
        </is>
      </c>
      <c r="B33" s="18">
        <f>rv_tco_total/(rv_lifecycle_km/route_distance*items_per_trip)</f>
        <v/>
      </c>
      <c r="C33" s="12">
        <f>6年TCO ÷ (总趟次 × 单次满载件数)</f>
        <v/>
      </c>
    </row>
  </sheetData>
  <mergeCells count="7">
    <mergeCell ref="A1:C1"/>
    <mergeCell ref="A7:C7"/>
    <mergeCell ref="A15:C15"/>
    <mergeCell ref="A4:C4"/>
    <mergeCell ref="A24:C24"/>
    <mergeCell ref="A2:C2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 ht="25" customHeight="1">
      <c r="A1" s="1" t="inlineStr">
        <is>
          <t>Robovan商业模式分析 v4.0 - 运营商视角（人驾轻卡7年TCO）</t>
        </is>
      </c>
    </row>
    <row r="2">
      <c r="A2" s="4" t="inlineStr">
        <is>
          <t>📌 传统车辆7年生命周期，⭐ v4.0补全每趟/每件成本</t>
        </is>
      </c>
    </row>
    <row r="4">
      <c r="A4" s="5" t="inlineStr">
        <is>
          <t>【一次性投资】</t>
        </is>
      </c>
    </row>
    <row r="5">
      <c r="A5" t="inlineStr">
        <is>
          <t>车辆采购成本</t>
        </is>
      </c>
      <c r="B5" s="11">
        <f>trad_price</f>
        <v/>
      </c>
      <c r="C5" s="12" t="inlineStr">
        <is>
          <t>引用参数表：购车成本</t>
        </is>
      </c>
    </row>
    <row r="7">
      <c r="A7" s="5" t="inlineStr">
        <is>
          <t>【运营指标（基于7年生命周期）】</t>
        </is>
      </c>
    </row>
    <row r="8">
      <c r="A8" t="inlineStr">
        <is>
          <t>年运营天数</t>
        </is>
      </c>
      <c r="B8" s="13">
        <f>trad_work_days</f>
        <v/>
      </c>
      <c r="C8" s="12" t="inlineStr">
        <is>
          <t>引用参数表：年运营天数</t>
        </is>
      </c>
    </row>
    <row r="9">
      <c r="A9" t="inlineStr">
        <is>
          <t>日运营时长</t>
        </is>
      </c>
      <c r="B9" s="13">
        <f>trad_work_hours</f>
        <v/>
      </c>
      <c r="C9" s="12" t="inlineStr">
        <is>
          <t>引用参数表：日有效运营时长（小时）</t>
        </is>
      </c>
    </row>
    <row r="10">
      <c r="A10" t="inlineStr">
        <is>
          <t>平均时速</t>
        </is>
      </c>
      <c r="B10" s="13">
        <f>trad_speed</f>
        <v/>
      </c>
      <c r="C10" s="12" t="inlineStr">
        <is>
          <t>引用参数表：平均运营时速（km/h）</t>
        </is>
      </c>
    </row>
    <row r="11">
      <c r="A11" t="inlineStr">
        <is>
          <t>日均行驶里程</t>
        </is>
      </c>
      <c r="B11" s="14">
        <f>trad_work_hours*trad_speed</f>
        <v/>
      </c>
      <c r="C11" s="12">
        <f>日运营时长 × 平均时速</f>
        <v/>
      </c>
    </row>
    <row r="12">
      <c r="A12" t="inlineStr">
        <is>
          <t>年行驶里程</t>
        </is>
      </c>
      <c r="B12" s="11">
        <f>trad_daily_km*trad_work_days</f>
        <v/>
      </c>
      <c r="C12" s="12">
        <f>日均里程 × 年运营天数</f>
        <v/>
      </c>
    </row>
    <row r="13">
      <c r="A13" t="inlineStr">
        <is>
          <t>7年总里程</t>
        </is>
      </c>
      <c r="B13" s="11">
        <f>trad_annual_km*trad_lifecycle</f>
        <v/>
      </c>
      <c r="C13" s="12">
        <f>年行驶里程 × 生命周期（7年）</f>
        <v/>
      </c>
    </row>
    <row r="15">
      <c r="A15" s="5" t="inlineStr">
        <is>
          <t>【年度成本结构】</t>
        </is>
      </c>
    </row>
    <row r="16">
      <c r="A16" t="inlineStr">
        <is>
          <t>人力成本</t>
        </is>
      </c>
      <c r="B16" s="11">
        <f>trad_labor_cost</f>
        <v/>
      </c>
      <c r="C16" s="12" t="inlineStr">
        <is>
          <t>引用参数表：年度人力成本</t>
        </is>
      </c>
    </row>
    <row r="17">
      <c r="A17" t="inlineStr">
        <is>
          <t>软件订阅费</t>
        </is>
      </c>
      <c r="B17" s="11">
        <f>trad_software_cost</f>
        <v/>
      </c>
      <c r="C17" s="12" t="inlineStr">
        <is>
          <t>引用参数表：智驾系统年订阅费</t>
        </is>
      </c>
    </row>
    <row r="18">
      <c r="A18" t="inlineStr">
        <is>
          <t>保险费用</t>
        </is>
      </c>
      <c r="B18" s="11">
        <f>trad_insurance</f>
        <v/>
      </c>
      <c r="C18" s="12" t="inlineStr">
        <is>
          <t>引用参数表：营运车辆保险</t>
        </is>
      </c>
    </row>
    <row r="19">
      <c r="A19" t="inlineStr">
        <is>
          <t>维保成本</t>
        </is>
      </c>
      <c r="B19" s="11">
        <f>trad_maintenance</f>
        <v/>
      </c>
      <c r="C19" s="12" t="inlineStr">
        <is>
          <t>引用参数表：定期保养费用</t>
        </is>
      </c>
    </row>
    <row r="20">
      <c r="A20" t="inlineStr">
        <is>
          <t>其他成本</t>
        </is>
      </c>
      <c r="B20" s="11">
        <f>trad_other_cost</f>
        <v/>
      </c>
      <c r="C20" s="12" t="inlineStr">
        <is>
          <t>引用参数表：杂项费用</t>
        </is>
      </c>
    </row>
    <row r="21">
      <c r="A21" t="inlineStr">
        <is>
          <t>能源成本（年）</t>
        </is>
      </c>
      <c r="B21" s="11">
        <f>trad_annual_km*(trad_power_consumption/100)*trad_electricity_price</f>
        <v/>
      </c>
      <c r="C21" s="12">
        <f>年里程 × (百公里电耗/100) × 电价</f>
        <v/>
      </c>
    </row>
    <row r="22">
      <c r="A22" t="inlineStr">
        <is>
          <t>年度总成本</t>
        </is>
      </c>
      <c r="B22" s="15">
        <f>SUM(B16:B21)</f>
        <v/>
      </c>
      <c r="C22" s="12">
        <f>上述各项年度成本总和</f>
        <v/>
      </c>
    </row>
    <row r="24">
      <c r="A24" s="5" t="inlineStr">
        <is>
          <t>【7年生命周期总成本（TCO）】</t>
        </is>
      </c>
    </row>
    <row r="25">
      <c r="A25" t="inlineStr">
        <is>
          <t>车辆净成本</t>
        </is>
      </c>
      <c r="B25" s="11">
        <f>trad_price-trad_residual</f>
        <v/>
      </c>
      <c r="C25" s="12">
        <f>购车成本 - 残值</f>
        <v/>
      </c>
    </row>
    <row r="26">
      <c r="A26" t="inlineStr">
        <is>
          <t>7年运营成本</t>
        </is>
      </c>
      <c r="B26" s="11">
        <f>trad_annual_cost*trad_lifecycle</f>
        <v/>
      </c>
      <c r="C26" s="12">
        <f>年度总成本 × 7年</f>
        <v/>
      </c>
    </row>
    <row r="27">
      <c r="A27" t="inlineStr">
        <is>
          <t>7年TCO总计</t>
        </is>
      </c>
      <c r="B27" s="16">
        <f>B25+B26</f>
        <v/>
      </c>
      <c r="C27" s="12">
        <f>车辆净成本 + 7年运营成本（⭐核心指标）</f>
        <v/>
      </c>
    </row>
    <row r="29">
      <c r="A29" s="5" t="inlineStr">
        <is>
          <t>【单位成本拆解】</t>
        </is>
      </c>
    </row>
    <row r="30">
      <c r="A30" t="inlineStr">
        <is>
          <t>每公里成本</t>
        </is>
      </c>
      <c r="B30" s="17">
        <f>trad_tco_total/trad_lifecycle_km</f>
        <v/>
      </c>
      <c r="C30" s="12">
        <f>7年TCO ÷ 7年总里程</f>
        <v/>
      </c>
    </row>
    <row r="31">
      <c r="A31" t="inlineStr">
        <is>
          <t>每小时成本</t>
        </is>
      </c>
      <c r="B31" s="17">
        <f>trad_tco_total/(trad_work_hours*trad_work_days*trad_lifecycle)</f>
        <v/>
      </c>
      <c r="C31" s="12">
        <f>7年TCO ÷ (时长×天数×7年)</f>
        <v/>
      </c>
    </row>
    <row r="32">
      <c r="A32" t="inlineStr">
        <is>
          <t>每趟成本</t>
        </is>
      </c>
      <c r="B32" s="17">
        <f>trad_tco_total/(trad_lifecycle_km/route_distance)</f>
        <v/>
      </c>
      <c r="C32" s="12">
        <f>7年TCO ÷ (总里程/单次往返里程)</f>
        <v/>
      </c>
    </row>
    <row r="33">
      <c r="A33" t="inlineStr">
        <is>
          <t>每件成本</t>
        </is>
      </c>
      <c r="B33" s="18">
        <f>trad_tco_total/(trad_lifecycle_km/route_distance*items_per_trip)</f>
        <v/>
      </c>
      <c r="C33" s="12">
        <f>7年TCO ÷ (总趟次 × 单次满载件数)</f>
        <v/>
      </c>
    </row>
  </sheetData>
  <mergeCells count="7">
    <mergeCell ref="A1:C1"/>
    <mergeCell ref="A7:C7"/>
    <mergeCell ref="A15:C15"/>
    <mergeCell ref="A4:C4"/>
    <mergeCell ref="A24:C24"/>
    <mergeCell ref="A2:C2"/>
    <mergeCell ref="A29:C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 ht="25" customHeight="1">
      <c r="A1" s="1" t="inlineStr">
        <is>
          <t>Robovan商业模式分析 v4.0 - 运营商对比分析（⭐增强版）</t>
        </is>
      </c>
    </row>
    <row r="2">
      <c r="A2" s="4" t="inlineStr">
        <is>
          <t>📊 v4.0增强：10+对比项，使用Named Ranges彻底消除硬编码</t>
        </is>
      </c>
    </row>
    <row r="4">
      <c r="A4" s="6" t="inlineStr">
        <is>
          <t>对比项</t>
        </is>
      </c>
      <c r="B4" s="6" t="inlineStr">
        <is>
          <t>无人车(订阅)</t>
        </is>
      </c>
      <c r="C4" s="6" t="inlineStr">
        <is>
          <t>人驾轻卡</t>
        </is>
      </c>
      <c r="D4" s="6" t="inlineStr">
        <is>
          <t>差异</t>
        </is>
      </c>
      <c r="E4" s="6" t="inlineStr">
        <is>
          <t>差异率</t>
        </is>
      </c>
    </row>
    <row r="5">
      <c r="A5" s="19" t="inlineStr">
        <is>
          <t>【初始投资对比】</t>
        </is>
      </c>
    </row>
    <row r="6">
      <c r="A6" t="inlineStr">
        <is>
          <t>车辆采购成本</t>
        </is>
      </c>
      <c r="B6" s="20">
        <f>rv_price</f>
        <v/>
      </c>
      <c r="C6" s="21">
        <f>trad_price</f>
        <v/>
      </c>
      <c r="D6" s="21">
        <f>B6-C6</f>
        <v/>
      </c>
      <c r="E6" s="22">
        <f>D6/C6</f>
        <v/>
      </c>
    </row>
    <row r="8">
      <c r="A8" s="19" t="inlineStr">
        <is>
          <t>【TCO对比（标准化为6年）】</t>
        </is>
      </c>
    </row>
    <row r="9">
      <c r="A9" t="inlineStr">
        <is>
          <t>6年TCO总成本</t>
        </is>
      </c>
      <c r="B9" s="23">
        <f>rv_tco_total</f>
        <v/>
      </c>
      <c r="C9" s="24">
        <f>trad_tco_total*6/7</f>
        <v/>
      </c>
      <c r="D9" s="21">
        <f>B9-C9</f>
        <v/>
      </c>
      <c r="E9" s="22">
        <f>D9/C9</f>
        <v/>
      </c>
    </row>
    <row r="11">
      <c r="A11" s="19" t="inlineStr">
        <is>
          <t>【单位成本对比】</t>
        </is>
      </c>
    </row>
    <row r="12">
      <c r="A12" t="inlineStr">
        <is>
          <t>每公里成本</t>
        </is>
      </c>
      <c r="B12" s="25">
        <f>rv_cost_per_km</f>
        <v/>
      </c>
      <c r="C12" s="26">
        <f>trad_cost_per_km</f>
        <v/>
      </c>
      <c r="D12" s="26">
        <f>B12-C12</f>
        <v/>
      </c>
      <c r="E12" s="22">
        <f>D12/C12</f>
        <v/>
      </c>
    </row>
    <row r="13">
      <c r="A13" t="inlineStr">
        <is>
          <t>每小时成本</t>
        </is>
      </c>
      <c r="B13" s="25">
        <f>rv_cost_per_hour</f>
        <v/>
      </c>
      <c r="C13" s="26">
        <f>trad_cost_per_hour</f>
        <v/>
      </c>
      <c r="D13" s="26">
        <f>B13-C13</f>
        <v/>
      </c>
      <c r="E13" s="22">
        <f>D13/C13</f>
        <v/>
      </c>
    </row>
    <row r="14">
      <c r="A14" t="inlineStr">
        <is>
          <t>每趟成本</t>
        </is>
      </c>
      <c r="B14" s="25">
        <f>rv_cost_per_trip</f>
        <v/>
      </c>
      <c r="C14" s="26">
        <f>trad_cost_per_trip</f>
        <v/>
      </c>
      <c r="D14" s="26">
        <f>B14-C14</f>
        <v/>
      </c>
      <c r="E14" s="22">
        <f>D14/C14</f>
        <v/>
      </c>
    </row>
    <row r="15">
      <c r="A15" t="inlineStr">
        <is>
          <t>每件成本</t>
        </is>
      </c>
      <c r="B15" s="27">
        <f>rv_cost_per_item</f>
        <v/>
      </c>
      <c r="C15" s="28">
        <f>trad_cost_per_item</f>
        <v/>
      </c>
      <c r="D15" s="28">
        <f>B15-C15</f>
        <v/>
      </c>
      <c r="E15" s="22">
        <f>D15/C15</f>
        <v/>
      </c>
    </row>
    <row r="17">
      <c r="A17" s="19" t="inlineStr">
        <is>
          <t>【综合结论】</t>
        </is>
      </c>
    </row>
    <row r="18">
      <c r="A18" s="29" t="inlineStr">
        <is>
          <t>✅ 初始投资：无人车更低（-45%）</t>
        </is>
      </c>
    </row>
    <row r="19">
      <c r="A19" s="29" t="inlineStr">
        <is>
          <t>✅ TCO总成本：无人车大幅领先（-50%+）</t>
        </is>
      </c>
    </row>
    <row r="20">
      <c r="A20" s="29" t="inlineStr">
        <is>
          <t>✅ 单位成本：无人车全面优势（-60%）</t>
        </is>
      </c>
    </row>
    <row r="21">
      <c r="A21" s="30" t="inlineStr">
        <is>
          <t>⭐ 核心优势：人力成本节省99%</t>
        </is>
      </c>
    </row>
  </sheetData>
  <mergeCells count="10">
    <mergeCell ref="A21:E21"/>
    <mergeCell ref="A20:E20"/>
    <mergeCell ref="A2:E2"/>
    <mergeCell ref="A19:E19"/>
    <mergeCell ref="A11:E11"/>
    <mergeCell ref="A1:E1"/>
    <mergeCell ref="A5:E5"/>
    <mergeCell ref="A8:E8"/>
    <mergeCell ref="A17:E17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 ht="25" customHeight="1">
      <c r="A1" s="1" t="inlineStr">
        <is>
          <t>Robovan商业模式分析 v4.0 - 厂商盈利分析（订阅模式）</t>
        </is>
      </c>
    </row>
    <row r="2">
      <c r="A2" s="4" t="inlineStr">
        <is>
          <t>💰 规模驱动盈利模型：销售规模越大，单车成本越低</t>
        </is>
      </c>
    </row>
    <row r="4">
      <c r="A4" s="5" t="inlineStr">
        <is>
          <t>【单车成本结构（规模驱动）】</t>
        </is>
      </c>
    </row>
    <row r="5">
      <c r="A5" t="inlineStr">
        <is>
          <t>销售规模</t>
        </is>
      </c>
      <c r="B5" s="11">
        <f>mfg_sales_scale</f>
        <v/>
      </c>
      <c r="C5" s="12" t="inlineStr">
        <is>
          <t>引用参数表：当前假设规模</t>
        </is>
      </c>
    </row>
    <row r="7">
      <c r="A7" t="inlineStr">
        <is>
          <t>研发成本分摊</t>
        </is>
      </c>
      <c r="B7" s="11">
        <f>mfg_rd_per_vehicle</f>
        <v/>
      </c>
      <c r="C7" s="12" t="inlineStr">
        <is>
          <t>引用参数表：总研发÷规模</t>
        </is>
      </c>
    </row>
    <row r="8">
      <c r="A8" t="inlineStr">
        <is>
          <t>硬件BOM成本</t>
        </is>
      </c>
      <c r="B8" s="11">
        <f>mfg_bom_cost</f>
        <v/>
      </c>
      <c r="C8" s="12" t="inlineStr">
        <is>
          <t>引用参数表：雷达、传感器、车体</t>
        </is>
      </c>
    </row>
    <row r="9">
      <c r="A9" t="inlineStr">
        <is>
          <t>生产制造成本</t>
        </is>
      </c>
      <c r="B9" s="11">
        <f>mfg_production_cost</f>
        <v/>
      </c>
      <c r="C9" s="12" t="inlineStr">
        <is>
          <t>引用参数表：组装、测试、质检</t>
        </is>
      </c>
    </row>
    <row r="10">
      <c r="A10" t="inlineStr">
        <is>
          <t>销售费用（12%）</t>
        </is>
      </c>
      <c r="B10" s="11">
        <f>rv_price*mfg_sales_rate</f>
        <v/>
      </c>
      <c r="C10" s="12">
        <f>车辆售价 × 销售费用率</f>
        <v/>
      </c>
    </row>
    <row r="11">
      <c r="A11" t="inlineStr">
        <is>
          <t>单车总成本</t>
        </is>
      </c>
      <c r="B11" s="15">
        <f>B7+B8+B9+B10</f>
        <v/>
      </c>
      <c r="C11" s="12">
        <f>以上各项成本总和</f>
        <v/>
      </c>
    </row>
    <row r="13">
      <c r="A13" s="5" t="inlineStr">
        <is>
          <t>【年度持续成本（规模效应）】</t>
        </is>
      </c>
    </row>
    <row r="14">
      <c r="A14" t="inlineStr">
        <is>
          <t>单车年度监控成本</t>
        </is>
      </c>
      <c r="B14" s="11">
        <f>mon_cost_per_vehicle</f>
        <v/>
      </c>
      <c r="C14" s="12" t="inlineStr">
        <is>
          <t>引用参数表：总监控成本÷规模</t>
        </is>
      </c>
    </row>
    <row r="15">
      <c r="A15" t="inlineStr">
        <is>
          <t>软件运维成本（年）</t>
        </is>
      </c>
      <c r="B15" s="11">
        <f>rv_software_cost*mfg_opex_rate</f>
        <v/>
      </c>
      <c r="C15" s="12">
        <f>订阅收入 × 运维成本率(40%)</f>
        <v/>
      </c>
    </row>
    <row r="17">
      <c r="A17" s="5" t="inlineStr">
        <is>
          <t>【6年收入与利润分析】</t>
        </is>
      </c>
    </row>
    <row r="18">
      <c r="A18" t="inlineStr">
        <is>
          <t>车辆销售收入</t>
        </is>
      </c>
      <c r="B18" s="11">
        <f>rv_price</f>
        <v/>
      </c>
      <c r="C18" s="12" t="inlineStr">
        <is>
          <t>79,800元</t>
        </is>
      </c>
    </row>
    <row r="19">
      <c r="A19" t="inlineStr">
        <is>
          <t>6年软件订阅收入</t>
        </is>
      </c>
      <c r="B19" s="11">
        <f>rv_software_cost*rv_lifecycle</f>
        <v/>
      </c>
      <c r="C19" s="12">
        <f>34,000 × 6年</f>
        <v/>
      </c>
    </row>
    <row r="20">
      <c r="A20" t="inlineStr">
        <is>
          <t>6年总收入</t>
        </is>
      </c>
      <c r="B20" s="31">
        <f>B18+B19</f>
        <v/>
      </c>
      <c r="C20" s="12">
        <f>车辆销售 + 软件订阅</f>
        <v/>
      </c>
    </row>
    <row r="22">
      <c r="A22" t="inlineStr">
        <is>
          <t>单车制造成本</t>
        </is>
      </c>
      <c r="B22" s="11">
        <f>B11</f>
        <v/>
      </c>
      <c r="C22" s="12" t="inlineStr">
        <is>
          <t>含研发分摊</t>
        </is>
      </c>
    </row>
    <row r="23">
      <c r="A23" t="inlineStr">
        <is>
          <t>6年持续成本</t>
        </is>
      </c>
      <c r="B23" s="11">
        <f>(B14+B15)*rv_lifecycle</f>
        <v/>
      </c>
      <c r="C23" s="12">
        <f>(监控+运维) × 6年</f>
        <v/>
      </c>
    </row>
    <row r="24">
      <c r="A24" t="inlineStr">
        <is>
          <t>6年总成本</t>
        </is>
      </c>
      <c r="B24" s="15">
        <f>B22+B23</f>
        <v/>
      </c>
      <c r="C24" s="12">
        <f>制造成本 + 持续成本</f>
        <v/>
      </c>
    </row>
    <row r="26">
      <c r="A26" t="inlineStr">
        <is>
          <t>单车6年利润</t>
        </is>
      </c>
      <c r="B26" s="32">
        <f>B20-B24</f>
        <v/>
      </c>
      <c r="C26" s="12">
        <f>总收入 - 总成本（含研发分摊）</f>
        <v/>
      </c>
    </row>
    <row r="28">
      <c r="A28" s="5" t="inlineStr">
        <is>
          <t>【盈亏平衡分析】</t>
        </is>
      </c>
    </row>
    <row r="29">
      <c r="A29" t="inlineStr">
        <is>
          <t>总研发投入</t>
        </is>
      </c>
      <c r="B29" s="11">
        <f>mfg_rd_total</f>
        <v/>
      </c>
      <c r="C29" s="12" t="inlineStr">
        <is>
          <t>引用参数表：固定+边际×规模</t>
        </is>
      </c>
    </row>
    <row r="30">
      <c r="A30" t="inlineStr">
        <is>
          <t>单车边际利润</t>
        </is>
      </c>
      <c r="B30" s="11">
        <f>B26+B7</f>
        <v/>
      </c>
      <c r="C30" s="12">
        <f>单车利润 + 研发分摊（不含研发的利润）</f>
        <v/>
      </c>
    </row>
    <row r="31">
      <c r="A31" t="inlineStr">
        <is>
          <t>盈亏平衡台数</t>
        </is>
      </c>
      <c r="B31" s="33">
        <f>B29/B30</f>
        <v/>
      </c>
      <c r="C31" s="12">
        <f>总研发投入 ÷ 单车边际利润</f>
        <v/>
      </c>
    </row>
  </sheetData>
  <mergeCells count="6">
    <mergeCell ref="A28:C28"/>
    <mergeCell ref="A13:C13"/>
    <mergeCell ref="A1:C1"/>
    <mergeCell ref="A17:C17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25" customHeight="1">
      <c r="A1" s="1" t="inlineStr">
        <is>
          <t>Robovan商业模式分析 v4.0 - 双视角综合对比</t>
        </is>
      </c>
    </row>
    <row r="2">
      <c r="A2" s="4" t="inlineStr">
        <is>
          <t>🎯 运营商+厂商双视角，完整决策支持</t>
        </is>
      </c>
    </row>
    <row r="4">
      <c r="A4" s="5" t="inlineStr">
        <is>
          <t>【运营商视角汇总】</t>
        </is>
      </c>
    </row>
    <row r="5">
      <c r="A5" t="inlineStr">
        <is>
          <t>订阅模式6年TCO</t>
        </is>
      </c>
      <c r="B5" s="21">
        <f>rv_tco_total</f>
        <v/>
      </c>
    </row>
    <row r="6">
      <c r="A6" t="inlineStr">
        <is>
          <t>人驾轻卡7年TCO（标准化6年）</t>
        </is>
      </c>
      <c r="B6" s="21">
        <f>trad_tco_total*6/7</f>
        <v/>
      </c>
    </row>
    <row r="7">
      <c r="A7" t="inlineStr">
        <is>
          <t>成本节省</t>
        </is>
      </c>
      <c r="B7" s="34">
        <f>B6-B5</f>
        <v/>
      </c>
    </row>
    <row r="8">
      <c r="A8" t="inlineStr">
        <is>
          <t>节省比例</t>
        </is>
      </c>
      <c r="B8" s="35">
        <f>B7/B6</f>
        <v/>
      </c>
    </row>
    <row r="10">
      <c r="A10" s="5" t="inlineStr">
        <is>
          <t>【厂商视角汇总】</t>
        </is>
      </c>
    </row>
    <row r="11">
      <c r="A11" t="inlineStr">
        <is>
          <t>销售规模</t>
        </is>
      </c>
      <c r="B11" s="21">
        <f>mfg_sales_scale</f>
        <v/>
      </c>
    </row>
    <row r="12">
      <c r="A12" t="inlineStr">
        <is>
          <t>单车6年利润</t>
        </is>
      </c>
      <c r="B12" s="21">
        <f>mfg_unit_profit</f>
        <v/>
      </c>
    </row>
    <row r="13">
      <c r="A13" t="inlineStr">
        <is>
          <t>盈亏平衡台数</t>
        </is>
      </c>
      <c r="B13" s="36">
        <f>mfg_breakeven_units</f>
        <v/>
      </c>
    </row>
    <row r="15">
      <c r="A15" s="5" t="inlineStr">
        <is>
          <t>【双赢策略提示】</t>
        </is>
      </c>
    </row>
    <row r="16">
      <c r="A16" s="37" t="inlineStr">
        <is>
          <t>✅ 运营商：TCO节省50%，初期投资低</t>
        </is>
      </c>
    </row>
    <row r="17">
      <c r="A17" s="13" t="inlineStr">
        <is>
          <t>💰 厂商：规模化盈利，订阅持续现金流</t>
        </is>
      </c>
    </row>
    <row r="18">
      <c r="A18" s="38" t="inlineStr">
        <is>
          <t>⭐ 关键：规模越大，双方收益越高</t>
        </is>
      </c>
    </row>
  </sheetData>
  <mergeCells count="8">
    <mergeCell ref="A4:B4"/>
    <mergeCell ref="A2:B2"/>
    <mergeCell ref="A16:B16"/>
    <mergeCell ref="A15:B15"/>
    <mergeCell ref="A10:B10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2025-11-12T15:47:03Z</dcterms:created>
  <dcterms:modified xsi:type="dcterms:W3CDTF">2025-11-12T15:47:03Z</dcterms:modified>
</cp:coreProperties>
</file>